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mmcglobal.sharepoint.com/teams/CSGD00312025NationalManpo535069/Shared Documents/General/08. Working Clusters/2. Cluster B/4. WLD Analysis/7. MoM/وكيل الوزارة المساعد لشؤون الخدمات المشتركة/"/>
    </mc:Choice>
  </mc:AlternateContent>
  <xr:revisionPtr revIDLastSave="761" documentId="8_{646099EB-07F2-4713-AE81-9F9B25921FA3}" xr6:coauthVersionLast="47" xr6:coauthVersionMax="47" xr10:uidLastSave="{AA5BDCF0-276C-41F0-9E80-BC8C50F07242}"/>
  <workbookProtection workbookAlgorithmName="SHA-512" workbookHashValue="mMAV93v4ZS1un2CV9FP2NoZdcd4sLjRPSEt5knSJpIfDcc2KGhoMntlGbvJ9tEgiKk1AFji65TWRoVYKiGLemw==" workbookSaltValue="T7c5rW4pazTdL/Wids+g0Q==" workbookSpinCount="100000" lockStructure="1"/>
  <bookViews>
    <workbookView xWindow="-110" yWindow="-110" windowWidth="19420" windowHeight="11500" firstSheet="2" activeTab="2" xr2:uid="{00000000-000D-0000-FFFF-FFFF00000000}"/>
  </bookViews>
  <sheets>
    <sheet name="الافتراضات" sheetId="9" state="hidden" r:id="rId1"/>
    <sheet name="طريقة الحساب" sheetId="8" state="hidden" r:id="rId2"/>
    <sheet name="نموذج التحليل" sheetId="4" r:id="rId3"/>
  </sheets>
  <definedNames>
    <definedName name="_Fill" localSheetId="2" hidden="1">#REF!</definedName>
    <definedName name="_Fill" hidden="1">#REF!</definedName>
    <definedName name="_xlnm._FilterDatabase" localSheetId="2" hidden="1">'نموذج التحليل'!$B$12:$BF$207</definedName>
    <definedName name="Career_Level">#REF!</definedName>
    <definedName name="Companies">OFFSET(#REF!,0,0,1,COUNTA(#REF!))</definedName>
    <definedName name="Companydata_ak">OFFSET(#REF!,-3,0,1,COUNTA(#REF!))</definedName>
    <definedName name="CompMap">OFFSET(#REF!,-2,0,1,COUNTA(#REF!))</definedName>
    <definedName name="CorporateCommunications">#REF!</definedName>
    <definedName name="cost.center_table">#REF!</definedName>
    <definedName name="cost.center_table.index">#REF!</definedName>
    <definedName name="dashboard.wf_table">#REF!</definedName>
    <definedName name="dashboard.wf_table.index">#REF!</definedName>
    <definedName name="DigitalandInformationSecurity">#REF!</definedName>
    <definedName name="DirectReport">#REF!</definedName>
    <definedName name="Division">#REF!</definedName>
    <definedName name="Driver">#REF!</definedName>
    <definedName name="Enforcement">#REF!</definedName>
    <definedName name="EvolutionWD">#REF!</definedName>
    <definedName name="FinanceandAdministration">#REF!</definedName>
    <definedName name="Frequency">الافتراضات!#REF!</definedName>
    <definedName name="GovernorOffice">#REF!</definedName>
    <definedName name="Grade.Mapping">#REF!</definedName>
    <definedName name="Grade.Mapping_Index">#REF!</definedName>
    <definedName name="HumanCapital">#REF!</definedName>
    <definedName name="ID_KPI_ForQuery">OFFSET(#REF!,0,0,COUNTA(#REF!),2)</definedName>
    <definedName name="InternalAudit">#REF!</definedName>
    <definedName name="International">#REF!</definedName>
    <definedName name="JFs">#REF!</definedName>
    <definedName name="l.cxo">#REF!</definedName>
    <definedName name="l.on.off">#REF!</definedName>
    <definedName name="LegalandCompliance">#REF!</definedName>
    <definedName name="newlegal">#REF!</definedName>
    <definedName name="nUsedCols">MATCH(REPT("z",255),#REF!)</definedName>
    <definedName name="nUsedRows" xml:space="preserve"> MATCH(REPT("z",255),#REF!)</definedName>
    <definedName name="Operations">#REF!</definedName>
    <definedName name="PositionDB">#REF!</definedName>
    <definedName name="PositionDB_Index">#REF!</definedName>
    <definedName name="PositionDB_Title">#REF!</definedName>
    <definedName name="POWER_USER_EXCEL_CHART_DD56D71F_F473_4FC5_B02E_EFE983EAFC0A">#REF!</definedName>
    <definedName name="Ratio">الافتراضات!#REF!</definedName>
    <definedName name="Regional">#REF!</definedName>
    <definedName name="RiskandIntelligence">#REF!</definedName>
    <definedName name="rngSal">#REF!</definedName>
    <definedName name="Sections_2020">OFFSET(#REF!,,,COUNTIF(#REF!,"&lt;&gt;"&amp;"-"))</definedName>
    <definedName name="StrategyandTransformation">#REF!</definedName>
    <definedName name="TaxpayerExperienceandQuality">#REF!</definedName>
    <definedName name="Year">#REF!</definedName>
    <definedName name="تكرار">'طريقة الحساب'!$B$2:$B$4</definedName>
    <definedName name="نسبة">'طريقة الحساب'!$A$2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205" i="4" l="1"/>
  <c r="AP205" i="4" s="1"/>
  <c r="AQ205" i="4"/>
  <c r="AR205" i="4" s="1"/>
  <c r="AS205" i="4"/>
  <c r="AT205" i="4"/>
  <c r="AX205" i="4" a="1"/>
  <c r="AX205" i="4"/>
  <c r="AY205" i="4" a="1"/>
  <c r="AY205" i="4"/>
  <c r="AZ205" i="4" a="1"/>
  <c r="AZ205" i="4" s="1"/>
  <c r="BA205" i="4" a="1"/>
  <c r="BA205" i="4"/>
  <c r="BB205" i="4" a="1"/>
  <c r="BB205" i="4"/>
  <c r="BC205" i="4" a="1"/>
  <c r="BC205" i="4"/>
  <c r="BD205" i="4" a="1"/>
  <c r="BD205" i="4"/>
  <c r="BE205" i="4" a="1"/>
  <c r="BE205" i="4" s="1"/>
  <c r="AO206" i="4"/>
  <c r="AP206" i="4"/>
  <c r="AQ206" i="4"/>
  <c r="AR206" i="4"/>
  <c r="AS206" i="4"/>
  <c r="AT206" i="4"/>
  <c r="AX206" i="4" a="1"/>
  <c r="AX206" i="4"/>
  <c r="AY206" i="4" a="1"/>
  <c r="AY206" i="4" s="1"/>
  <c r="AZ206" i="4" a="1"/>
  <c r="AZ206" i="4" s="1"/>
  <c r="BA206" i="4" a="1"/>
  <c r="BA206" i="4"/>
  <c r="BB206" i="4" a="1"/>
  <c r="BB206" i="4"/>
  <c r="BC206" i="4" a="1"/>
  <c r="BC206" i="4"/>
  <c r="BD206" i="4" a="1"/>
  <c r="BD206" i="4" s="1"/>
  <c r="BE206" i="4" a="1"/>
  <c r="BE206" i="4"/>
  <c r="AO207" i="4"/>
  <c r="AP207" i="4"/>
  <c r="AQ207" i="4"/>
  <c r="AR207" i="4"/>
  <c r="AS207" i="4"/>
  <c r="AT207" i="4"/>
  <c r="AX207" i="4" a="1"/>
  <c r="AX207" i="4" s="1"/>
  <c r="AY207" i="4" a="1"/>
  <c r="AY207" i="4"/>
  <c r="AZ207" i="4" a="1"/>
  <c r="AZ207" i="4"/>
  <c r="BA207" i="4" a="1"/>
  <c r="BA207" i="4"/>
  <c r="BB207" i="4" a="1"/>
  <c r="BB207" i="4"/>
  <c r="BC207" i="4" a="1"/>
  <c r="BC207" i="4" s="1"/>
  <c r="BD207" i="4" a="1"/>
  <c r="BD207" i="4"/>
  <c r="BE207" i="4" a="1"/>
  <c r="BE207" i="4"/>
  <c r="AO19" i="4"/>
  <c r="AP19" i="4" s="1"/>
  <c r="AQ19" i="4"/>
  <c r="AR19" i="4" s="1"/>
  <c r="AS19" i="4"/>
  <c r="AT19" i="4" s="1"/>
  <c r="AX19" i="4" a="1"/>
  <c r="AX19" i="4" s="1"/>
  <c r="AY19" i="4" a="1"/>
  <c r="AY19" i="4" s="1"/>
  <c r="AZ19" i="4" a="1"/>
  <c r="AZ19" i="4" s="1"/>
  <c r="BA19" i="4" a="1"/>
  <c r="BA19" i="4" s="1"/>
  <c r="BB19" i="4" a="1"/>
  <c r="BB19" i="4" s="1"/>
  <c r="BC19" i="4" a="1"/>
  <c r="BC19" i="4" s="1"/>
  <c r="BD19" i="4" a="1"/>
  <c r="BD19" i="4" s="1"/>
  <c r="BE19" i="4" a="1"/>
  <c r="BE19" i="4" s="1"/>
  <c r="AO20" i="4"/>
  <c r="AP20" i="4" s="1"/>
  <c r="AQ20" i="4"/>
  <c r="AR20" i="4" s="1"/>
  <c r="AS20" i="4"/>
  <c r="AT20" i="4" s="1"/>
  <c r="AX20" i="4" a="1"/>
  <c r="AX20" i="4" s="1"/>
  <c r="AY20" i="4" a="1"/>
  <c r="AY20" i="4" s="1"/>
  <c r="AZ20" i="4" a="1"/>
  <c r="AZ20" i="4" s="1"/>
  <c r="BA20" i="4" a="1"/>
  <c r="BA20" i="4" s="1"/>
  <c r="BB20" i="4" a="1"/>
  <c r="BB20" i="4" s="1"/>
  <c r="BC20" i="4" a="1"/>
  <c r="BC20" i="4" s="1"/>
  <c r="BD20" i="4" a="1"/>
  <c r="BD20" i="4" s="1"/>
  <c r="BE20" i="4" a="1"/>
  <c r="BE20" i="4" s="1"/>
  <c r="AO21" i="4"/>
  <c r="AP21" i="4" s="1"/>
  <c r="AQ21" i="4"/>
  <c r="AR21" i="4" s="1"/>
  <c r="AS21" i="4"/>
  <c r="AT21" i="4" s="1"/>
  <c r="AX21" i="4" a="1"/>
  <c r="AX21" i="4" s="1"/>
  <c r="AY21" i="4" a="1"/>
  <c r="AY21" i="4" s="1"/>
  <c r="AZ21" i="4" a="1"/>
  <c r="AZ21" i="4" s="1"/>
  <c r="BA21" i="4" a="1"/>
  <c r="BA21" i="4" s="1"/>
  <c r="BB21" i="4" a="1"/>
  <c r="BB21" i="4" s="1"/>
  <c r="BC21" i="4" a="1"/>
  <c r="BC21" i="4" s="1"/>
  <c r="BD21" i="4" a="1"/>
  <c r="BD21" i="4" s="1"/>
  <c r="BE21" i="4" a="1"/>
  <c r="BE21" i="4" s="1"/>
  <c r="AO22" i="4"/>
  <c r="AP22" i="4" s="1"/>
  <c r="AQ22" i="4"/>
  <c r="AR22" i="4" s="1"/>
  <c r="AS22" i="4"/>
  <c r="AT22" i="4" s="1"/>
  <c r="AX22" i="4" a="1"/>
  <c r="AX22" i="4" s="1"/>
  <c r="AY22" i="4" a="1"/>
  <c r="AY22" i="4" s="1"/>
  <c r="AZ22" i="4" a="1"/>
  <c r="AZ22" i="4" s="1"/>
  <c r="BA22" i="4" a="1"/>
  <c r="BA22" i="4" s="1"/>
  <c r="BB22" i="4" a="1"/>
  <c r="BB22" i="4" s="1"/>
  <c r="BC22" i="4" a="1"/>
  <c r="BC22" i="4" s="1"/>
  <c r="BD22" i="4" a="1"/>
  <c r="BD22" i="4" s="1"/>
  <c r="BE22" i="4" a="1"/>
  <c r="BE22" i="4" s="1"/>
  <c r="AO23" i="4"/>
  <c r="AP23" i="4" s="1"/>
  <c r="AQ23" i="4"/>
  <c r="AR23" i="4" s="1"/>
  <c r="AS23" i="4"/>
  <c r="AT23" i="4" s="1"/>
  <c r="AX23" i="4" a="1"/>
  <c r="AX23" i="4" s="1"/>
  <c r="AY23" i="4" a="1"/>
  <c r="AY23" i="4" s="1"/>
  <c r="AZ23" i="4" a="1"/>
  <c r="AZ23" i="4" s="1"/>
  <c r="BA23" i="4" a="1"/>
  <c r="BA23" i="4" s="1"/>
  <c r="BB23" i="4" a="1"/>
  <c r="BB23" i="4" s="1"/>
  <c r="BC23" i="4" a="1"/>
  <c r="BC23" i="4" s="1"/>
  <c r="BD23" i="4" a="1"/>
  <c r="BD23" i="4" s="1"/>
  <c r="BE23" i="4" a="1"/>
  <c r="BE23" i="4" s="1"/>
  <c r="AO24" i="4"/>
  <c r="AP24" i="4" s="1"/>
  <c r="AQ24" i="4"/>
  <c r="AR24" i="4" s="1"/>
  <c r="AS24" i="4"/>
  <c r="AT24" i="4" s="1"/>
  <c r="AX24" i="4" a="1"/>
  <c r="AX24" i="4" s="1"/>
  <c r="AY24" i="4" a="1"/>
  <c r="AY24" i="4" s="1"/>
  <c r="AZ24" i="4" a="1"/>
  <c r="AZ24" i="4" s="1"/>
  <c r="BA24" i="4" a="1"/>
  <c r="BA24" i="4" s="1"/>
  <c r="BB24" i="4" a="1"/>
  <c r="BB24" i="4" s="1"/>
  <c r="BC24" i="4" a="1"/>
  <c r="BC24" i="4" s="1"/>
  <c r="BD24" i="4" a="1"/>
  <c r="BD24" i="4" s="1"/>
  <c r="BE24" i="4" a="1"/>
  <c r="BE24" i="4" s="1"/>
  <c r="AO25" i="4"/>
  <c r="AP25" i="4" s="1"/>
  <c r="AQ25" i="4"/>
  <c r="AR25" i="4" s="1"/>
  <c r="AS25" i="4"/>
  <c r="AT25" i="4" s="1"/>
  <c r="AX25" i="4" a="1"/>
  <c r="AX25" i="4" s="1"/>
  <c r="AY25" i="4" a="1"/>
  <c r="AY25" i="4" s="1"/>
  <c r="AZ25" i="4" a="1"/>
  <c r="AZ25" i="4" s="1"/>
  <c r="BA25" i="4" a="1"/>
  <c r="BA25" i="4" s="1"/>
  <c r="BB25" i="4" a="1"/>
  <c r="BB25" i="4" s="1"/>
  <c r="BC25" i="4" a="1"/>
  <c r="BC25" i="4" s="1"/>
  <c r="BD25" i="4" a="1"/>
  <c r="BD25" i="4" s="1"/>
  <c r="BE25" i="4" a="1"/>
  <c r="BE25" i="4" s="1"/>
  <c r="AO26" i="4"/>
  <c r="AP26" i="4" s="1"/>
  <c r="AQ26" i="4"/>
  <c r="AR26" i="4" s="1"/>
  <c r="AS26" i="4"/>
  <c r="AT26" i="4" s="1"/>
  <c r="AX26" i="4" a="1"/>
  <c r="AX26" i="4" s="1"/>
  <c r="AY26" i="4" a="1"/>
  <c r="AY26" i="4" s="1"/>
  <c r="AZ26" i="4" a="1"/>
  <c r="AZ26" i="4" s="1"/>
  <c r="BA26" i="4" a="1"/>
  <c r="BA26" i="4" s="1"/>
  <c r="BB26" i="4" a="1"/>
  <c r="BB26" i="4" s="1"/>
  <c r="BC26" i="4" a="1"/>
  <c r="BC26" i="4" s="1"/>
  <c r="BD26" i="4" a="1"/>
  <c r="BD26" i="4" s="1"/>
  <c r="BE26" i="4" a="1"/>
  <c r="BE26" i="4" s="1"/>
  <c r="AO27" i="4"/>
  <c r="AP27" i="4" s="1"/>
  <c r="AQ27" i="4"/>
  <c r="AR27" i="4" s="1"/>
  <c r="AS27" i="4"/>
  <c r="AT27" i="4"/>
  <c r="AX27" i="4" a="1"/>
  <c r="AX27" i="4" s="1"/>
  <c r="AY27" i="4" a="1"/>
  <c r="AY27" i="4" s="1"/>
  <c r="AZ27" i="4" a="1"/>
  <c r="AZ27" i="4" s="1"/>
  <c r="BA27" i="4" a="1"/>
  <c r="BA27" i="4" s="1"/>
  <c r="BB27" i="4" a="1"/>
  <c r="BB27" i="4" s="1"/>
  <c r="BC27" i="4" a="1"/>
  <c r="BC27" i="4" s="1"/>
  <c r="BD27" i="4" a="1"/>
  <c r="BD27" i="4" s="1"/>
  <c r="BE27" i="4" a="1"/>
  <c r="BE27" i="4" s="1"/>
  <c r="AO28" i="4"/>
  <c r="AP28" i="4" s="1"/>
  <c r="AQ28" i="4"/>
  <c r="AR28" i="4" s="1"/>
  <c r="AS28" i="4"/>
  <c r="AT28" i="4" s="1"/>
  <c r="AX28" i="4" a="1"/>
  <c r="AX28" i="4" s="1"/>
  <c r="AY28" i="4" a="1"/>
  <c r="AY28" i="4" s="1"/>
  <c r="AZ28" i="4" a="1"/>
  <c r="AZ28" i="4" s="1"/>
  <c r="BA28" i="4" a="1"/>
  <c r="BA28" i="4" s="1"/>
  <c r="BB28" i="4" a="1"/>
  <c r="BB28" i="4" s="1"/>
  <c r="BC28" i="4" a="1"/>
  <c r="BC28" i="4" s="1"/>
  <c r="BD28" i="4" a="1"/>
  <c r="BD28" i="4" s="1"/>
  <c r="BE28" i="4" a="1"/>
  <c r="BE28" i="4" s="1"/>
  <c r="AO29" i="4"/>
  <c r="AP29" i="4" s="1"/>
  <c r="AQ29" i="4"/>
  <c r="AR29" i="4" s="1"/>
  <c r="AS29" i="4"/>
  <c r="AT29" i="4" s="1"/>
  <c r="AX29" i="4" a="1"/>
  <c r="AX29" i="4" s="1"/>
  <c r="AY29" i="4" a="1"/>
  <c r="AY29" i="4" s="1"/>
  <c r="AZ29" i="4" a="1"/>
  <c r="AZ29" i="4" s="1"/>
  <c r="BA29" i="4" a="1"/>
  <c r="BA29" i="4" s="1"/>
  <c r="BB29" i="4" a="1"/>
  <c r="BB29" i="4" s="1"/>
  <c r="BC29" i="4" a="1"/>
  <c r="BC29" i="4" s="1"/>
  <c r="BD29" i="4" a="1"/>
  <c r="BD29" i="4" s="1"/>
  <c r="BE29" i="4" a="1"/>
  <c r="BE29" i="4" s="1"/>
  <c r="AO30" i="4"/>
  <c r="AP30" i="4" s="1"/>
  <c r="AQ30" i="4"/>
  <c r="AR30" i="4" s="1"/>
  <c r="AS30" i="4"/>
  <c r="AT30" i="4" s="1"/>
  <c r="AX30" i="4" a="1"/>
  <c r="AX30" i="4" s="1"/>
  <c r="AY30" i="4" a="1"/>
  <c r="AY30" i="4" s="1"/>
  <c r="AZ30" i="4" a="1"/>
  <c r="AZ30" i="4" s="1"/>
  <c r="BA30" i="4" a="1"/>
  <c r="BA30" i="4" s="1"/>
  <c r="BB30" i="4" a="1"/>
  <c r="BB30" i="4" s="1"/>
  <c r="BC30" i="4" a="1"/>
  <c r="BC30" i="4" s="1"/>
  <c r="BD30" i="4" a="1"/>
  <c r="BD30" i="4" s="1"/>
  <c r="BE30" i="4" a="1"/>
  <c r="BE30" i="4" s="1"/>
  <c r="AO31" i="4"/>
  <c r="AP31" i="4" s="1"/>
  <c r="AQ31" i="4"/>
  <c r="AR31" i="4" s="1"/>
  <c r="AS31" i="4"/>
  <c r="AT31" i="4" s="1"/>
  <c r="AX31" i="4" a="1"/>
  <c r="AX31" i="4" s="1"/>
  <c r="AY31" i="4" a="1"/>
  <c r="AY31" i="4" s="1"/>
  <c r="AZ31" i="4" a="1"/>
  <c r="AZ31" i="4" s="1"/>
  <c r="BA31" i="4" a="1"/>
  <c r="BA31" i="4" s="1"/>
  <c r="BB31" i="4" a="1"/>
  <c r="BB31" i="4" s="1"/>
  <c r="BC31" i="4" a="1"/>
  <c r="BC31" i="4" s="1"/>
  <c r="BD31" i="4" a="1"/>
  <c r="BD31" i="4" s="1"/>
  <c r="BE31" i="4" a="1"/>
  <c r="BE31" i="4" s="1"/>
  <c r="AO32" i="4"/>
  <c r="AP32" i="4" s="1"/>
  <c r="AQ32" i="4"/>
  <c r="AR32" i="4" s="1"/>
  <c r="AS32" i="4"/>
  <c r="AT32" i="4" s="1"/>
  <c r="AX32" i="4" a="1"/>
  <c r="AX32" i="4" s="1"/>
  <c r="AY32" i="4" a="1"/>
  <c r="AY32" i="4" s="1"/>
  <c r="AZ32" i="4" a="1"/>
  <c r="AZ32" i="4" s="1"/>
  <c r="BA32" i="4" a="1"/>
  <c r="BA32" i="4" s="1"/>
  <c r="BB32" i="4" a="1"/>
  <c r="BB32" i="4" s="1"/>
  <c r="BC32" i="4" a="1"/>
  <c r="BC32" i="4" s="1"/>
  <c r="BD32" i="4" a="1"/>
  <c r="BD32" i="4" s="1"/>
  <c r="BE32" i="4" a="1"/>
  <c r="BE32" i="4" s="1"/>
  <c r="AO33" i="4"/>
  <c r="AP33" i="4" s="1"/>
  <c r="AQ33" i="4"/>
  <c r="AR33" i="4" s="1"/>
  <c r="AS33" i="4"/>
  <c r="AT33" i="4" s="1"/>
  <c r="AX33" i="4" a="1"/>
  <c r="AX33" i="4" s="1"/>
  <c r="AY33" i="4" a="1"/>
  <c r="AY33" i="4" s="1"/>
  <c r="AZ33" i="4" a="1"/>
  <c r="AZ33" i="4" s="1"/>
  <c r="BA33" i="4" a="1"/>
  <c r="BA33" i="4" s="1"/>
  <c r="BB33" i="4" a="1"/>
  <c r="BB33" i="4" s="1"/>
  <c r="BC33" i="4" a="1"/>
  <c r="BC33" i="4" s="1"/>
  <c r="BD33" i="4" a="1"/>
  <c r="BD33" i="4" s="1"/>
  <c r="BE33" i="4" a="1"/>
  <c r="BE33" i="4" s="1"/>
  <c r="AO34" i="4"/>
  <c r="AP34" i="4" s="1"/>
  <c r="AQ34" i="4"/>
  <c r="AR34" i="4" s="1"/>
  <c r="AS34" i="4"/>
  <c r="AT34" i="4" s="1"/>
  <c r="AX34" i="4" a="1"/>
  <c r="AX34" i="4" s="1"/>
  <c r="AY34" i="4" a="1"/>
  <c r="AY34" i="4" s="1"/>
  <c r="AZ34" i="4" a="1"/>
  <c r="AZ34" i="4" s="1"/>
  <c r="BA34" i="4" a="1"/>
  <c r="BA34" i="4" s="1"/>
  <c r="BB34" i="4" a="1"/>
  <c r="BB34" i="4" s="1"/>
  <c r="BC34" i="4" a="1"/>
  <c r="BC34" i="4" s="1"/>
  <c r="BD34" i="4" a="1"/>
  <c r="BD34" i="4" s="1"/>
  <c r="BE34" i="4" a="1"/>
  <c r="BE34" i="4" s="1"/>
  <c r="AO35" i="4"/>
  <c r="AP35" i="4" s="1"/>
  <c r="AQ35" i="4"/>
  <c r="AR35" i="4" s="1"/>
  <c r="AS35" i="4"/>
  <c r="AT35" i="4" s="1"/>
  <c r="AX35" i="4" a="1"/>
  <c r="AX35" i="4" s="1"/>
  <c r="AY35" i="4" a="1"/>
  <c r="AY35" i="4" s="1"/>
  <c r="AZ35" i="4" a="1"/>
  <c r="AZ35" i="4" s="1"/>
  <c r="BA35" i="4" a="1"/>
  <c r="BA35" i="4" s="1"/>
  <c r="BB35" i="4" a="1"/>
  <c r="BB35" i="4" s="1"/>
  <c r="BC35" i="4" a="1"/>
  <c r="BC35" i="4" s="1"/>
  <c r="BD35" i="4" a="1"/>
  <c r="BD35" i="4" s="1"/>
  <c r="BE35" i="4" a="1"/>
  <c r="BE35" i="4" s="1"/>
  <c r="AO36" i="4"/>
  <c r="AP36" i="4" s="1"/>
  <c r="AQ36" i="4"/>
  <c r="AR36" i="4" s="1"/>
  <c r="AS36" i="4"/>
  <c r="AT36" i="4" s="1"/>
  <c r="AX36" i="4" a="1"/>
  <c r="AX36" i="4" s="1"/>
  <c r="AY36" i="4" a="1"/>
  <c r="AY36" i="4" s="1"/>
  <c r="AZ36" i="4" a="1"/>
  <c r="AZ36" i="4" s="1"/>
  <c r="BA36" i="4" a="1"/>
  <c r="BA36" i="4" s="1"/>
  <c r="BB36" i="4" a="1"/>
  <c r="BB36" i="4" s="1"/>
  <c r="BC36" i="4" a="1"/>
  <c r="BC36" i="4" s="1"/>
  <c r="BD36" i="4" a="1"/>
  <c r="BD36" i="4" s="1"/>
  <c r="BE36" i="4" a="1"/>
  <c r="BE36" i="4" s="1"/>
  <c r="AO37" i="4"/>
  <c r="AP37" i="4" s="1"/>
  <c r="AQ37" i="4"/>
  <c r="AR37" i="4" s="1"/>
  <c r="AS37" i="4"/>
  <c r="AT37" i="4" s="1"/>
  <c r="AX37" i="4" a="1"/>
  <c r="AX37" i="4" s="1"/>
  <c r="AY37" i="4" a="1"/>
  <c r="AY37" i="4" s="1"/>
  <c r="AZ37" i="4" a="1"/>
  <c r="AZ37" i="4" s="1"/>
  <c r="BA37" i="4" a="1"/>
  <c r="BA37" i="4" s="1"/>
  <c r="BB37" i="4" a="1"/>
  <c r="BB37" i="4" s="1"/>
  <c r="BC37" i="4" a="1"/>
  <c r="BC37" i="4" s="1"/>
  <c r="BD37" i="4" a="1"/>
  <c r="BD37" i="4" s="1"/>
  <c r="BE37" i="4" a="1"/>
  <c r="BE37" i="4" s="1"/>
  <c r="AO38" i="4"/>
  <c r="AP38" i="4" s="1"/>
  <c r="AQ38" i="4"/>
  <c r="AR38" i="4" s="1"/>
  <c r="AS38" i="4"/>
  <c r="AT38" i="4" s="1"/>
  <c r="AX38" i="4" a="1"/>
  <c r="AX38" i="4" s="1"/>
  <c r="AY38" i="4" a="1"/>
  <c r="AY38" i="4" s="1"/>
  <c r="AZ38" i="4" a="1"/>
  <c r="AZ38" i="4" s="1"/>
  <c r="BA38" i="4" a="1"/>
  <c r="BA38" i="4" s="1"/>
  <c r="BB38" i="4" a="1"/>
  <c r="BB38" i="4" s="1"/>
  <c r="BC38" i="4" a="1"/>
  <c r="BC38" i="4" s="1"/>
  <c r="BD38" i="4" a="1"/>
  <c r="BD38" i="4" s="1"/>
  <c r="BE38" i="4" a="1"/>
  <c r="BE38" i="4" s="1"/>
  <c r="AO39" i="4"/>
  <c r="AP39" i="4" s="1"/>
  <c r="AQ39" i="4"/>
  <c r="AR39" i="4" s="1"/>
  <c r="AS39" i="4"/>
  <c r="AT39" i="4" s="1"/>
  <c r="AX39" i="4" a="1"/>
  <c r="AX39" i="4" s="1"/>
  <c r="AY39" i="4" a="1"/>
  <c r="AY39" i="4" s="1"/>
  <c r="AZ39" i="4" a="1"/>
  <c r="AZ39" i="4" s="1"/>
  <c r="BA39" i="4" a="1"/>
  <c r="BA39" i="4" s="1"/>
  <c r="BB39" i="4" a="1"/>
  <c r="BB39" i="4" s="1"/>
  <c r="BC39" i="4" a="1"/>
  <c r="BC39" i="4" s="1"/>
  <c r="BD39" i="4" a="1"/>
  <c r="BD39" i="4" s="1"/>
  <c r="BE39" i="4" a="1"/>
  <c r="BE39" i="4" s="1"/>
  <c r="AO40" i="4"/>
  <c r="AP40" i="4" s="1"/>
  <c r="AQ40" i="4"/>
  <c r="AR40" i="4" s="1"/>
  <c r="AS40" i="4"/>
  <c r="AT40" i="4" s="1"/>
  <c r="AX40" i="4" a="1"/>
  <c r="AX40" i="4" s="1"/>
  <c r="AY40" i="4" a="1"/>
  <c r="AY40" i="4" s="1"/>
  <c r="AZ40" i="4" a="1"/>
  <c r="AZ40" i="4" s="1"/>
  <c r="BA40" i="4" a="1"/>
  <c r="BA40" i="4" s="1"/>
  <c r="BB40" i="4" a="1"/>
  <c r="BB40" i="4" s="1"/>
  <c r="BC40" i="4" a="1"/>
  <c r="BC40" i="4" s="1"/>
  <c r="BD40" i="4" a="1"/>
  <c r="BD40" i="4" s="1"/>
  <c r="BE40" i="4" a="1"/>
  <c r="BE40" i="4" s="1"/>
  <c r="AO41" i="4"/>
  <c r="AP41" i="4" s="1"/>
  <c r="AQ41" i="4"/>
  <c r="AR41" i="4" s="1"/>
  <c r="AS41" i="4"/>
  <c r="AT41" i="4" s="1"/>
  <c r="AX41" i="4" a="1"/>
  <c r="AX41" i="4" s="1"/>
  <c r="AY41" i="4" a="1"/>
  <c r="AY41" i="4" s="1"/>
  <c r="AZ41" i="4" a="1"/>
  <c r="AZ41" i="4" s="1"/>
  <c r="BA41" i="4" a="1"/>
  <c r="BA41" i="4" s="1"/>
  <c r="BB41" i="4" a="1"/>
  <c r="BB41" i="4" s="1"/>
  <c r="BC41" i="4" a="1"/>
  <c r="BC41" i="4" s="1"/>
  <c r="BD41" i="4" a="1"/>
  <c r="BD41" i="4" s="1"/>
  <c r="BE41" i="4" a="1"/>
  <c r="BE41" i="4" s="1"/>
  <c r="AO42" i="4"/>
  <c r="AP42" i="4" s="1"/>
  <c r="AQ42" i="4"/>
  <c r="AR42" i="4" s="1"/>
  <c r="AS42" i="4"/>
  <c r="AT42" i="4" s="1"/>
  <c r="AX42" i="4" a="1"/>
  <c r="AX42" i="4" s="1"/>
  <c r="AY42" i="4" a="1"/>
  <c r="AY42" i="4" s="1"/>
  <c r="AZ42" i="4" a="1"/>
  <c r="AZ42" i="4" s="1"/>
  <c r="BA42" i="4" a="1"/>
  <c r="BA42" i="4" s="1"/>
  <c r="BB42" i="4" a="1"/>
  <c r="BB42" i="4" s="1"/>
  <c r="BC42" i="4" a="1"/>
  <c r="BC42" i="4" s="1"/>
  <c r="BD42" i="4" a="1"/>
  <c r="BD42" i="4" s="1"/>
  <c r="BE42" i="4" a="1"/>
  <c r="BE42" i="4" s="1"/>
  <c r="AO43" i="4"/>
  <c r="AP43" i="4" s="1"/>
  <c r="AQ43" i="4"/>
  <c r="AR43" i="4" s="1"/>
  <c r="AS43" i="4"/>
  <c r="AT43" i="4" s="1"/>
  <c r="AX43" i="4" a="1"/>
  <c r="AX43" i="4" s="1"/>
  <c r="AY43" i="4" a="1"/>
  <c r="AY43" i="4" s="1"/>
  <c r="AZ43" i="4" a="1"/>
  <c r="AZ43" i="4" s="1"/>
  <c r="BA43" i="4" a="1"/>
  <c r="BA43" i="4" s="1"/>
  <c r="BB43" i="4" a="1"/>
  <c r="BB43" i="4" s="1"/>
  <c r="BC43" i="4" a="1"/>
  <c r="BC43" i="4" s="1"/>
  <c r="BD43" i="4" a="1"/>
  <c r="BD43" i="4" s="1"/>
  <c r="BE43" i="4" a="1"/>
  <c r="BE43" i="4" s="1"/>
  <c r="AO44" i="4"/>
  <c r="AP44" i="4" s="1"/>
  <c r="AQ44" i="4"/>
  <c r="AR44" i="4" s="1"/>
  <c r="AS44" i="4"/>
  <c r="AT44" i="4" s="1"/>
  <c r="AX44" i="4" a="1"/>
  <c r="AX44" i="4" s="1"/>
  <c r="AY44" i="4" a="1"/>
  <c r="AY44" i="4" s="1"/>
  <c r="AZ44" i="4" a="1"/>
  <c r="AZ44" i="4" s="1"/>
  <c r="BA44" i="4" a="1"/>
  <c r="BA44" i="4" s="1"/>
  <c r="BB44" i="4" a="1"/>
  <c r="BB44" i="4" s="1"/>
  <c r="BC44" i="4" a="1"/>
  <c r="BC44" i="4" s="1"/>
  <c r="BD44" i="4" a="1"/>
  <c r="BD44" i="4" s="1"/>
  <c r="BE44" i="4" a="1"/>
  <c r="BE44" i="4" s="1"/>
  <c r="AO45" i="4"/>
  <c r="AP45" i="4" s="1"/>
  <c r="AQ45" i="4"/>
  <c r="AR45" i="4" s="1"/>
  <c r="AS45" i="4"/>
  <c r="AT45" i="4" s="1"/>
  <c r="AX45" i="4" a="1"/>
  <c r="AX45" i="4" s="1"/>
  <c r="AY45" i="4" a="1"/>
  <c r="AY45" i="4" s="1"/>
  <c r="AZ45" i="4" a="1"/>
  <c r="AZ45" i="4" s="1"/>
  <c r="BA45" i="4" a="1"/>
  <c r="BA45" i="4" s="1"/>
  <c r="BB45" i="4" a="1"/>
  <c r="BB45" i="4" s="1"/>
  <c r="BC45" i="4" a="1"/>
  <c r="BC45" i="4" s="1"/>
  <c r="BD45" i="4" a="1"/>
  <c r="BD45" i="4" s="1"/>
  <c r="BE45" i="4" a="1"/>
  <c r="BE45" i="4" s="1"/>
  <c r="AO46" i="4"/>
  <c r="AP46" i="4" s="1"/>
  <c r="AQ46" i="4"/>
  <c r="AR46" i="4" s="1"/>
  <c r="AS46" i="4"/>
  <c r="AT46" i="4" s="1"/>
  <c r="AX46" i="4" a="1"/>
  <c r="AX46" i="4" s="1"/>
  <c r="AY46" i="4" a="1"/>
  <c r="AY46" i="4" s="1"/>
  <c r="AZ46" i="4" a="1"/>
  <c r="AZ46" i="4" s="1"/>
  <c r="BA46" i="4" a="1"/>
  <c r="BA46" i="4" s="1"/>
  <c r="BB46" i="4" a="1"/>
  <c r="BB46" i="4" s="1"/>
  <c r="BC46" i="4" a="1"/>
  <c r="BC46" i="4" s="1"/>
  <c r="BD46" i="4" a="1"/>
  <c r="BD46" i="4" s="1"/>
  <c r="BE46" i="4" a="1"/>
  <c r="BE46" i="4" s="1"/>
  <c r="AO47" i="4"/>
  <c r="AP47" i="4" s="1"/>
  <c r="AQ47" i="4"/>
  <c r="AR47" i="4" s="1"/>
  <c r="AS47" i="4"/>
  <c r="AT47" i="4" s="1"/>
  <c r="AX47" i="4" a="1"/>
  <c r="AX47" i="4" s="1"/>
  <c r="AY47" i="4" a="1"/>
  <c r="AY47" i="4" s="1"/>
  <c r="AZ47" i="4" a="1"/>
  <c r="AZ47" i="4" s="1"/>
  <c r="BA47" i="4" a="1"/>
  <c r="BA47" i="4" s="1"/>
  <c r="BB47" i="4" a="1"/>
  <c r="BB47" i="4" s="1"/>
  <c r="BC47" i="4" a="1"/>
  <c r="BC47" i="4" s="1"/>
  <c r="BD47" i="4" a="1"/>
  <c r="BD47" i="4" s="1"/>
  <c r="BE47" i="4" a="1"/>
  <c r="BE47" i="4" s="1"/>
  <c r="AO48" i="4"/>
  <c r="AP48" i="4" s="1"/>
  <c r="AQ48" i="4"/>
  <c r="AR48" i="4" s="1"/>
  <c r="AS48" i="4"/>
  <c r="AT48" i="4" s="1"/>
  <c r="AX48" i="4" a="1"/>
  <c r="AX48" i="4" s="1"/>
  <c r="AY48" i="4" a="1"/>
  <c r="AY48" i="4" s="1"/>
  <c r="AZ48" i="4" a="1"/>
  <c r="AZ48" i="4" s="1"/>
  <c r="BA48" i="4" a="1"/>
  <c r="BA48" i="4" s="1"/>
  <c r="BB48" i="4" a="1"/>
  <c r="BB48" i="4" s="1"/>
  <c r="BC48" i="4" a="1"/>
  <c r="BC48" i="4" s="1"/>
  <c r="BD48" i="4" a="1"/>
  <c r="BD48" i="4" s="1"/>
  <c r="BE48" i="4" a="1"/>
  <c r="BE48" i="4" s="1"/>
  <c r="AO49" i="4"/>
  <c r="AP49" i="4" s="1"/>
  <c r="AQ49" i="4"/>
  <c r="AR49" i="4" s="1"/>
  <c r="AS49" i="4"/>
  <c r="AT49" i="4" s="1"/>
  <c r="AX49" i="4" a="1"/>
  <c r="AX49" i="4" s="1"/>
  <c r="AY49" i="4" a="1"/>
  <c r="AY49" i="4" s="1"/>
  <c r="AZ49" i="4" a="1"/>
  <c r="AZ49" i="4" s="1"/>
  <c r="BA49" i="4" a="1"/>
  <c r="BA49" i="4" s="1"/>
  <c r="BB49" i="4" a="1"/>
  <c r="BB49" i="4" s="1"/>
  <c r="BC49" i="4" a="1"/>
  <c r="BC49" i="4" s="1"/>
  <c r="BD49" i="4" a="1"/>
  <c r="BD49" i="4" s="1"/>
  <c r="BE49" i="4" a="1"/>
  <c r="BE49" i="4" s="1"/>
  <c r="AO50" i="4"/>
  <c r="AP50" i="4" s="1"/>
  <c r="AQ50" i="4"/>
  <c r="AR50" i="4" s="1"/>
  <c r="AS50" i="4"/>
  <c r="AT50" i="4" s="1"/>
  <c r="AX50" i="4" a="1"/>
  <c r="AX50" i="4" s="1"/>
  <c r="AY50" i="4" a="1"/>
  <c r="AY50" i="4" s="1"/>
  <c r="AZ50" i="4" a="1"/>
  <c r="AZ50" i="4" s="1"/>
  <c r="BA50" i="4" a="1"/>
  <c r="BA50" i="4" s="1"/>
  <c r="BB50" i="4" a="1"/>
  <c r="BB50" i="4" s="1"/>
  <c r="BC50" i="4" a="1"/>
  <c r="BC50" i="4" s="1"/>
  <c r="BD50" i="4" a="1"/>
  <c r="BD50" i="4" s="1"/>
  <c r="BE50" i="4" a="1"/>
  <c r="BE50" i="4" s="1"/>
  <c r="AO51" i="4"/>
  <c r="AP51" i="4" s="1"/>
  <c r="AQ51" i="4"/>
  <c r="AR51" i="4" s="1"/>
  <c r="AS51" i="4"/>
  <c r="AT51" i="4" s="1"/>
  <c r="AX51" i="4" a="1"/>
  <c r="AX51" i="4" s="1"/>
  <c r="AY51" i="4" a="1"/>
  <c r="AY51" i="4" s="1"/>
  <c r="AZ51" i="4" a="1"/>
  <c r="AZ51" i="4" s="1"/>
  <c r="BA51" i="4" a="1"/>
  <c r="BA51" i="4" s="1"/>
  <c r="BB51" i="4" a="1"/>
  <c r="BB51" i="4" s="1"/>
  <c r="BC51" i="4" a="1"/>
  <c r="BC51" i="4" s="1"/>
  <c r="BD51" i="4" a="1"/>
  <c r="BD51" i="4" s="1"/>
  <c r="BE51" i="4" a="1"/>
  <c r="BE51" i="4" s="1"/>
  <c r="AO52" i="4"/>
  <c r="AP52" i="4" s="1"/>
  <c r="AQ52" i="4"/>
  <c r="AR52" i="4" s="1"/>
  <c r="AS52" i="4"/>
  <c r="AT52" i="4" s="1"/>
  <c r="AX52" i="4" a="1"/>
  <c r="AX52" i="4" s="1"/>
  <c r="AY52" i="4" a="1"/>
  <c r="AY52" i="4" s="1"/>
  <c r="AZ52" i="4" a="1"/>
  <c r="AZ52" i="4" s="1"/>
  <c r="BA52" i="4" a="1"/>
  <c r="BA52" i="4" s="1"/>
  <c r="BB52" i="4" a="1"/>
  <c r="BB52" i="4" s="1"/>
  <c r="BC52" i="4" a="1"/>
  <c r="BC52" i="4" s="1"/>
  <c r="BD52" i="4" a="1"/>
  <c r="BD52" i="4" s="1"/>
  <c r="BE52" i="4" a="1"/>
  <c r="BE52" i="4" s="1"/>
  <c r="AO53" i="4"/>
  <c r="AP53" i="4" s="1"/>
  <c r="AQ53" i="4"/>
  <c r="AR53" i="4" s="1"/>
  <c r="AS53" i="4"/>
  <c r="AT53" i="4" s="1"/>
  <c r="AX53" i="4" a="1"/>
  <c r="AX53" i="4" s="1"/>
  <c r="AY53" i="4" a="1"/>
  <c r="AY53" i="4" s="1"/>
  <c r="AZ53" i="4" a="1"/>
  <c r="AZ53" i="4" s="1"/>
  <c r="BA53" i="4" a="1"/>
  <c r="BA53" i="4" s="1"/>
  <c r="BB53" i="4" a="1"/>
  <c r="BB53" i="4" s="1"/>
  <c r="BC53" i="4" a="1"/>
  <c r="BC53" i="4" s="1"/>
  <c r="BD53" i="4" a="1"/>
  <c r="BD53" i="4" s="1"/>
  <c r="BE53" i="4" a="1"/>
  <c r="BE53" i="4" s="1"/>
  <c r="AO54" i="4"/>
  <c r="AP54" i="4" s="1"/>
  <c r="AQ54" i="4"/>
  <c r="AR54" i="4" s="1"/>
  <c r="AS54" i="4"/>
  <c r="AT54" i="4" s="1"/>
  <c r="AX54" i="4" a="1"/>
  <c r="AX54" i="4" s="1"/>
  <c r="AY54" i="4" a="1"/>
  <c r="AY54" i="4" s="1"/>
  <c r="AZ54" i="4" a="1"/>
  <c r="AZ54" i="4" s="1"/>
  <c r="BA54" i="4" a="1"/>
  <c r="BA54" i="4" s="1"/>
  <c r="BB54" i="4" a="1"/>
  <c r="BB54" i="4" s="1"/>
  <c r="BC54" i="4" a="1"/>
  <c r="BC54" i="4" s="1"/>
  <c r="BD54" i="4" a="1"/>
  <c r="BD54" i="4" s="1"/>
  <c r="BE54" i="4" a="1"/>
  <c r="BE54" i="4" s="1"/>
  <c r="AO55" i="4"/>
  <c r="AP55" i="4" s="1"/>
  <c r="AQ55" i="4"/>
  <c r="AR55" i="4" s="1"/>
  <c r="AS55" i="4"/>
  <c r="AT55" i="4" s="1"/>
  <c r="AX55" i="4" a="1"/>
  <c r="AX55" i="4" s="1"/>
  <c r="AY55" i="4" a="1"/>
  <c r="AY55" i="4" s="1"/>
  <c r="AZ55" i="4" a="1"/>
  <c r="AZ55" i="4" s="1"/>
  <c r="BA55" i="4" a="1"/>
  <c r="BA55" i="4" s="1"/>
  <c r="BB55" i="4" a="1"/>
  <c r="BB55" i="4" s="1"/>
  <c r="BC55" i="4" a="1"/>
  <c r="BC55" i="4" s="1"/>
  <c r="BD55" i="4" a="1"/>
  <c r="BD55" i="4" s="1"/>
  <c r="BE55" i="4" a="1"/>
  <c r="BE55" i="4" s="1"/>
  <c r="AO56" i="4"/>
  <c r="AP56" i="4" s="1"/>
  <c r="AQ56" i="4"/>
  <c r="AR56" i="4" s="1"/>
  <c r="AS56" i="4"/>
  <c r="AT56" i="4" s="1"/>
  <c r="AX56" i="4" a="1"/>
  <c r="AX56" i="4" s="1"/>
  <c r="AY56" i="4" a="1"/>
  <c r="AY56" i="4" s="1"/>
  <c r="AZ56" i="4" a="1"/>
  <c r="AZ56" i="4" s="1"/>
  <c r="BA56" i="4" a="1"/>
  <c r="BA56" i="4" s="1"/>
  <c r="BB56" i="4" a="1"/>
  <c r="BB56" i="4" s="1"/>
  <c r="BC56" i="4" a="1"/>
  <c r="BC56" i="4" s="1"/>
  <c r="BD56" i="4" a="1"/>
  <c r="BD56" i="4" s="1"/>
  <c r="BE56" i="4" a="1"/>
  <c r="BE56" i="4" s="1"/>
  <c r="AO57" i="4"/>
  <c r="AP57" i="4" s="1"/>
  <c r="AQ57" i="4"/>
  <c r="AR57" i="4" s="1"/>
  <c r="AS57" i="4"/>
  <c r="AT57" i="4" s="1"/>
  <c r="AX57" i="4" a="1"/>
  <c r="AX57" i="4" s="1"/>
  <c r="AY57" i="4" a="1"/>
  <c r="AY57" i="4" s="1"/>
  <c r="AZ57" i="4" a="1"/>
  <c r="AZ57" i="4" s="1"/>
  <c r="BA57" i="4" a="1"/>
  <c r="BA57" i="4" s="1"/>
  <c r="BB57" i="4" a="1"/>
  <c r="BB57" i="4" s="1"/>
  <c r="BC57" i="4" a="1"/>
  <c r="BC57" i="4" s="1"/>
  <c r="BD57" i="4" a="1"/>
  <c r="BD57" i="4" s="1"/>
  <c r="BE57" i="4" a="1"/>
  <c r="BE57" i="4" s="1"/>
  <c r="AO58" i="4"/>
  <c r="AP58" i="4" s="1"/>
  <c r="AQ58" i="4"/>
  <c r="AR58" i="4" s="1"/>
  <c r="AS58" i="4"/>
  <c r="AT58" i="4" s="1"/>
  <c r="AX58" i="4" a="1"/>
  <c r="AX58" i="4" s="1"/>
  <c r="AY58" i="4" a="1"/>
  <c r="AY58" i="4" s="1"/>
  <c r="AZ58" i="4" a="1"/>
  <c r="AZ58" i="4" s="1"/>
  <c r="BA58" i="4" a="1"/>
  <c r="BA58" i="4" s="1"/>
  <c r="BB58" i="4" a="1"/>
  <c r="BB58" i="4" s="1"/>
  <c r="BC58" i="4" a="1"/>
  <c r="BC58" i="4" s="1"/>
  <c r="BD58" i="4" a="1"/>
  <c r="BD58" i="4" s="1"/>
  <c r="BE58" i="4" a="1"/>
  <c r="BE58" i="4" s="1"/>
  <c r="AO59" i="4"/>
  <c r="AP59" i="4" s="1"/>
  <c r="AQ59" i="4"/>
  <c r="AR59" i="4" s="1"/>
  <c r="AS59" i="4"/>
  <c r="AT59" i="4" s="1"/>
  <c r="AX59" i="4" a="1"/>
  <c r="AX59" i="4" s="1"/>
  <c r="AY59" i="4" a="1"/>
  <c r="AY59" i="4" s="1"/>
  <c r="AZ59" i="4" a="1"/>
  <c r="AZ59" i="4" s="1"/>
  <c r="BA59" i="4" a="1"/>
  <c r="BA59" i="4" s="1"/>
  <c r="BB59" i="4" a="1"/>
  <c r="BB59" i="4" s="1"/>
  <c r="BC59" i="4" a="1"/>
  <c r="BC59" i="4" s="1"/>
  <c r="BD59" i="4" a="1"/>
  <c r="BD59" i="4" s="1"/>
  <c r="BE59" i="4" a="1"/>
  <c r="BE59" i="4" s="1"/>
  <c r="AO60" i="4"/>
  <c r="AP60" i="4" s="1"/>
  <c r="AQ60" i="4"/>
  <c r="AR60" i="4" s="1"/>
  <c r="AS60" i="4"/>
  <c r="AT60" i="4" s="1"/>
  <c r="AX60" i="4" a="1"/>
  <c r="AX60" i="4" s="1"/>
  <c r="AY60" i="4" a="1"/>
  <c r="AY60" i="4" s="1"/>
  <c r="AZ60" i="4" a="1"/>
  <c r="AZ60" i="4" s="1"/>
  <c r="BA60" i="4" a="1"/>
  <c r="BA60" i="4" s="1"/>
  <c r="BB60" i="4" a="1"/>
  <c r="BB60" i="4" s="1"/>
  <c r="BC60" i="4" a="1"/>
  <c r="BC60" i="4" s="1"/>
  <c r="BD60" i="4" a="1"/>
  <c r="BD60" i="4" s="1"/>
  <c r="BE60" i="4" a="1"/>
  <c r="BE60" i="4" s="1"/>
  <c r="AO61" i="4"/>
  <c r="AP61" i="4" s="1"/>
  <c r="AQ61" i="4"/>
  <c r="AR61" i="4" s="1"/>
  <c r="AS61" i="4"/>
  <c r="AT61" i="4" s="1"/>
  <c r="AX61" i="4" a="1"/>
  <c r="AX61" i="4" s="1"/>
  <c r="AY61" i="4" a="1"/>
  <c r="AY61" i="4" s="1"/>
  <c r="AZ61" i="4" a="1"/>
  <c r="AZ61" i="4" s="1"/>
  <c r="BA61" i="4" a="1"/>
  <c r="BA61" i="4" s="1"/>
  <c r="BB61" i="4" a="1"/>
  <c r="BB61" i="4" s="1"/>
  <c r="BC61" i="4" a="1"/>
  <c r="BC61" i="4" s="1"/>
  <c r="BD61" i="4" a="1"/>
  <c r="BD61" i="4" s="1"/>
  <c r="BE61" i="4" a="1"/>
  <c r="BE61" i="4" s="1"/>
  <c r="AO62" i="4"/>
  <c r="AP62" i="4" s="1"/>
  <c r="AQ62" i="4"/>
  <c r="AR62" i="4" s="1"/>
  <c r="AS62" i="4"/>
  <c r="AT62" i="4" s="1"/>
  <c r="AX62" i="4" a="1"/>
  <c r="AX62" i="4" s="1"/>
  <c r="AY62" i="4" a="1"/>
  <c r="AY62" i="4" s="1"/>
  <c r="AZ62" i="4" a="1"/>
  <c r="AZ62" i="4" s="1"/>
  <c r="BA62" i="4" a="1"/>
  <c r="BA62" i="4" s="1"/>
  <c r="BB62" i="4" a="1"/>
  <c r="BB62" i="4" s="1"/>
  <c r="BC62" i="4" a="1"/>
  <c r="BC62" i="4" s="1"/>
  <c r="BD62" i="4" a="1"/>
  <c r="BD62" i="4" s="1"/>
  <c r="BE62" i="4" a="1"/>
  <c r="BE62" i="4" s="1"/>
  <c r="AO63" i="4"/>
  <c r="AP63" i="4" s="1"/>
  <c r="AQ63" i="4"/>
  <c r="AR63" i="4" s="1"/>
  <c r="AS63" i="4"/>
  <c r="AT63" i="4" s="1"/>
  <c r="AX63" i="4" a="1"/>
  <c r="AX63" i="4" s="1"/>
  <c r="AY63" i="4" a="1"/>
  <c r="AY63" i="4" s="1"/>
  <c r="AZ63" i="4" a="1"/>
  <c r="AZ63" i="4" s="1"/>
  <c r="BA63" i="4" a="1"/>
  <c r="BA63" i="4" s="1"/>
  <c r="BB63" i="4" a="1"/>
  <c r="BB63" i="4" s="1"/>
  <c r="BC63" i="4" a="1"/>
  <c r="BC63" i="4" s="1"/>
  <c r="BD63" i="4" a="1"/>
  <c r="BD63" i="4" s="1"/>
  <c r="BE63" i="4" a="1"/>
  <c r="BE63" i="4" s="1"/>
  <c r="AO64" i="4"/>
  <c r="AP64" i="4" s="1"/>
  <c r="AQ64" i="4"/>
  <c r="AR64" i="4" s="1"/>
  <c r="AS64" i="4"/>
  <c r="AT64" i="4" s="1"/>
  <c r="AX64" i="4" a="1"/>
  <c r="AX64" i="4" s="1"/>
  <c r="AY64" i="4" a="1"/>
  <c r="AY64" i="4" s="1"/>
  <c r="AZ64" i="4" a="1"/>
  <c r="AZ64" i="4" s="1"/>
  <c r="BA64" i="4" a="1"/>
  <c r="BA64" i="4" s="1"/>
  <c r="BB64" i="4" a="1"/>
  <c r="BB64" i="4" s="1"/>
  <c r="BC64" i="4" a="1"/>
  <c r="BC64" i="4" s="1"/>
  <c r="BD64" i="4" a="1"/>
  <c r="BD64" i="4" s="1"/>
  <c r="BE64" i="4" a="1"/>
  <c r="BE64" i="4" s="1"/>
  <c r="AO65" i="4"/>
  <c r="AP65" i="4" s="1"/>
  <c r="AQ65" i="4"/>
  <c r="AR65" i="4" s="1"/>
  <c r="AS65" i="4"/>
  <c r="AT65" i="4" s="1"/>
  <c r="AX65" i="4" a="1"/>
  <c r="AX65" i="4" s="1"/>
  <c r="AY65" i="4" a="1"/>
  <c r="AY65" i="4" s="1"/>
  <c r="AZ65" i="4" a="1"/>
  <c r="AZ65" i="4" s="1"/>
  <c r="BA65" i="4" a="1"/>
  <c r="BA65" i="4" s="1"/>
  <c r="BB65" i="4" a="1"/>
  <c r="BB65" i="4" s="1"/>
  <c r="BC65" i="4" a="1"/>
  <c r="BC65" i="4" s="1"/>
  <c r="BD65" i="4" a="1"/>
  <c r="BD65" i="4" s="1"/>
  <c r="BE65" i="4" a="1"/>
  <c r="BE65" i="4" s="1"/>
  <c r="AO66" i="4"/>
  <c r="AP66" i="4" s="1"/>
  <c r="AQ66" i="4"/>
  <c r="AR66" i="4" s="1"/>
  <c r="AS66" i="4"/>
  <c r="AT66" i="4" s="1"/>
  <c r="AX66" i="4" a="1"/>
  <c r="AX66" i="4" s="1"/>
  <c r="AY66" i="4" a="1"/>
  <c r="AY66" i="4" s="1"/>
  <c r="AZ66" i="4" a="1"/>
  <c r="AZ66" i="4" s="1"/>
  <c r="BA66" i="4" a="1"/>
  <c r="BA66" i="4" s="1"/>
  <c r="BB66" i="4" a="1"/>
  <c r="BB66" i="4" s="1"/>
  <c r="BC66" i="4" a="1"/>
  <c r="BC66" i="4" s="1"/>
  <c r="BD66" i="4" a="1"/>
  <c r="BD66" i="4" s="1"/>
  <c r="BE66" i="4" a="1"/>
  <c r="BE66" i="4" s="1"/>
  <c r="AO67" i="4"/>
  <c r="AP67" i="4" s="1"/>
  <c r="AQ67" i="4"/>
  <c r="AR67" i="4" s="1"/>
  <c r="AS67" i="4"/>
  <c r="AT67" i="4" s="1"/>
  <c r="AX67" i="4" a="1"/>
  <c r="AX67" i="4" s="1"/>
  <c r="AY67" i="4" a="1"/>
  <c r="AY67" i="4" s="1"/>
  <c r="AZ67" i="4" a="1"/>
  <c r="AZ67" i="4" s="1"/>
  <c r="BA67" i="4" a="1"/>
  <c r="BA67" i="4" s="1"/>
  <c r="BB67" i="4" a="1"/>
  <c r="BB67" i="4" s="1"/>
  <c r="BC67" i="4" a="1"/>
  <c r="BC67" i="4" s="1"/>
  <c r="BD67" i="4" a="1"/>
  <c r="BD67" i="4" s="1"/>
  <c r="BE67" i="4" a="1"/>
  <c r="BE67" i="4" s="1"/>
  <c r="AO68" i="4"/>
  <c r="AP68" i="4" s="1"/>
  <c r="AQ68" i="4"/>
  <c r="AR68" i="4" s="1"/>
  <c r="AS68" i="4"/>
  <c r="AT68" i="4" s="1"/>
  <c r="AX68" i="4" a="1"/>
  <c r="AX68" i="4" s="1"/>
  <c r="AY68" i="4" a="1"/>
  <c r="AY68" i="4" s="1"/>
  <c r="AZ68" i="4" a="1"/>
  <c r="AZ68" i="4" s="1"/>
  <c r="BA68" i="4" a="1"/>
  <c r="BA68" i="4" s="1"/>
  <c r="BB68" i="4" a="1"/>
  <c r="BB68" i="4" s="1"/>
  <c r="BC68" i="4" a="1"/>
  <c r="BC68" i="4" s="1"/>
  <c r="BD68" i="4" a="1"/>
  <c r="BD68" i="4" s="1"/>
  <c r="BE68" i="4" a="1"/>
  <c r="BE68" i="4" s="1"/>
  <c r="AO69" i="4"/>
  <c r="AP69" i="4" s="1"/>
  <c r="AQ69" i="4"/>
  <c r="AR69" i="4" s="1"/>
  <c r="AS69" i="4"/>
  <c r="AT69" i="4" s="1"/>
  <c r="AX69" i="4" a="1"/>
  <c r="AX69" i="4" s="1"/>
  <c r="AY69" i="4" a="1"/>
  <c r="AY69" i="4" s="1"/>
  <c r="AZ69" i="4" a="1"/>
  <c r="AZ69" i="4" s="1"/>
  <c r="BA69" i="4" a="1"/>
  <c r="BA69" i="4" s="1"/>
  <c r="BB69" i="4" a="1"/>
  <c r="BB69" i="4" s="1"/>
  <c r="BC69" i="4" a="1"/>
  <c r="BC69" i="4" s="1"/>
  <c r="BD69" i="4" a="1"/>
  <c r="BD69" i="4" s="1"/>
  <c r="BE69" i="4" a="1"/>
  <c r="BE69" i="4" s="1"/>
  <c r="AO70" i="4"/>
  <c r="AP70" i="4" s="1"/>
  <c r="AQ70" i="4"/>
  <c r="AR70" i="4" s="1"/>
  <c r="AS70" i="4"/>
  <c r="AT70" i="4" s="1"/>
  <c r="AX70" i="4" a="1"/>
  <c r="AX70" i="4" s="1"/>
  <c r="AY70" i="4" a="1"/>
  <c r="AY70" i="4" s="1"/>
  <c r="AZ70" i="4" a="1"/>
  <c r="AZ70" i="4" s="1"/>
  <c r="BA70" i="4" a="1"/>
  <c r="BA70" i="4" s="1"/>
  <c r="BB70" i="4" a="1"/>
  <c r="BB70" i="4" s="1"/>
  <c r="BC70" i="4" a="1"/>
  <c r="BC70" i="4" s="1"/>
  <c r="BD70" i="4" a="1"/>
  <c r="BD70" i="4" s="1"/>
  <c r="BE70" i="4" a="1"/>
  <c r="BE70" i="4" s="1"/>
  <c r="AO71" i="4"/>
  <c r="AP71" i="4" s="1"/>
  <c r="AQ71" i="4"/>
  <c r="AR71" i="4" s="1"/>
  <c r="AS71" i="4"/>
  <c r="AT71" i="4" s="1"/>
  <c r="AX71" i="4" a="1"/>
  <c r="AX71" i="4" s="1"/>
  <c r="AY71" i="4" a="1"/>
  <c r="AY71" i="4" s="1"/>
  <c r="AZ71" i="4" a="1"/>
  <c r="AZ71" i="4" s="1"/>
  <c r="BA71" i="4" a="1"/>
  <c r="BA71" i="4" s="1"/>
  <c r="BB71" i="4" a="1"/>
  <c r="BB71" i="4" s="1"/>
  <c r="BC71" i="4" a="1"/>
  <c r="BC71" i="4" s="1"/>
  <c r="BD71" i="4" a="1"/>
  <c r="BD71" i="4" s="1"/>
  <c r="BE71" i="4" a="1"/>
  <c r="BE71" i="4" s="1"/>
  <c r="AO72" i="4"/>
  <c r="AP72" i="4" s="1"/>
  <c r="AQ72" i="4"/>
  <c r="AR72" i="4" s="1"/>
  <c r="AS72" i="4"/>
  <c r="AT72" i="4" s="1"/>
  <c r="AX72" i="4" a="1"/>
  <c r="AX72" i="4" s="1"/>
  <c r="AY72" i="4" a="1"/>
  <c r="AY72" i="4" s="1"/>
  <c r="AZ72" i="4" a="1"/>
  <c r="AZ72" i="4" s="1"/>
  <c r="BA72" i="4" a="1"/>
  <c r="BA72" i="4" s="1"/>
  <c r="BB72" i="4" a="1"/>
  <c r="BB72" i="4" s="1"/>
  <c r="BC72" i="4" a="1"/>
  <c r="BC72" i="4" s="1"/>
  <c r="BD72" i="4" a="1"/>
  <c r="BD72" i="4" s="1"/>
  <c r="BE72" i="4" a="1"/>
  <c r="BE72" i="4" s="1"/>
  <c r="AO73" i="4"/>
  <c r="AP73" i="4" s="1"/>
  <c r="AQ73" i="4"/>
  <c r="AR73" i="4" s="1"/>
  <c r="AS73" i="4"/>
  <c r="AT73" i="4" s="1"/>
  <c r="AX73" i="4" a="1"/>
  <c r="AX73" i="4" s="1"/>
  <c r="AY73" i="4" a="1"/>
  <c r="AY73" i="4" s="1"/>
  <c r="AZ73" i="4" a="1"/>
  <c r="AZ73" i="4" s="1"/>
  <c r="BA73" i="4" a="1"/>
  <c r="BA73" i="4" s="1"/>
  <c r="BB73" i="4" a="1"/>
  <c r="BB73" i="4" s="1"/>
  <c r="BC73" i="4" a="1"/>
  <c r="BC73" i="4" s="1"/>
  <c r="BD73" i="4" a="1"/>
  <c r="BD73" i="4" s="1"/>
  <c r="BE73" i="4" a="1"/>
  <c r="BE73" i="4" s="1"/>
  <c r="AO74" i="4"/>
  <c r="AP74" i="4" s="1"/>
  <c r="AQ74" i="4"/>
  <c r="AR74" i="4" s="1"/>
  <c r="AS74" i="4"/>
  <c r="AT74" i="4" s="1"/>
  <c r="AX74" i="4" a="1"/>
  <c r="AX74" i="4" s="1"/>
  <c r="AY74" i="4" a="1"/>
  <c r="AY74" i="4" s="1"/>
  <c r="AZ74" i="4" a="1"/>
  <c r="AZ74" i="4" s="1"/>
  <c r="BA74" i="4" a="1"/>
  <c r="BA74" i="4" s="1"/>
  <c r="BB74" i="4" a="1"/>
  <c r="BB74" i="4" s="1"/>
  <c r="BC74" i="4" a="1"/>
  <c r="BC74" i="4" s="1"/>
  <c r="BD74" i="4" a="1"/>
  <c r="BD74" i="4" s="1"/>
  <c r="BE74" i="4" a="1"/>
  <c r="BE74" i="4" s="1"/>
  <c r="AO75" i="4"/>
  <c r="AP75" i="4" s="1"/>
  <c r="AQ75" i="4"/>
  <c r="AR75" i="4" s="1"/>
  <c r="AS75" i="4"/>
  <c r="AT75" i="4" s="1"/>
  <c r="AX75" i="4" a="1"/>
  <c r="AX75" i="4" s="1"/>
  <c r="AY75" i="4" a="1"/>
  <c r="AY75" i="4" s="1"/>
  <c r="AZ75" i="4" a="1"/>
  <c r="AZ75" i="4" s="1"/>
  <c r="BA75" i="4" a="1"/>
  <c r="BA75" i="4" s="1"/>
  <c r="BB75" i="4" a="1"/>
  <c r="BB75" i="4" s="1"/>
  <c r="BC75" i="4" a="1"/>
  <c r="BC75" i="4" s="1"/>
  <c r="BD75" i="4" a="1"/>
  <c r="BD75" i="4" s="1"/>
  <c r="BE75" i="4" a="1"/>
  <c r="BE75" i="4" s="1"/>
  <c r="AO76" i="4"/>
  <c r="AP76" i="4" s="1"/>
  <c r="AQ76" i="4"/>
  <c r="AR76" i="4" s="1"/>
  <c r="AS76" i="4"/>
  <c r="AT76" i="4" s="1"/>
  <c r="AX76" i="4" a="1"/>
  <c r="AX76" i="4" s="1"/>
  <c r="AY76" i="4" a="1"/>
  <c r="AY76" i="4" s="1"/>
  <c r="AZ76" i="4" a="1"/>
  <c r="AZ76" i="4" s="1"/>
  <c r="BA76" i="4" a="1"/>
  <c r="BA76" i="4" s="1"/>
  <c r="BB76" i="4" a="1"/>
  <c r="BB76" i="4" s="1"/>
  <c r="BC76" i="4" a="1"/>
  <c r="BC76" i="4" s="1"/>
  <c r="BD76" i="4" a="1"/>
  <c r="BD76" i="4" s="1"/>
  <c r="BE76" i="4" a="1"/>
  <c r="BE76" i="4" s="1"/>
  <c r="AO77" i="4"/>
  <c r="AP77" i="4" s="1"/>
  <c r="AQ77" i="4"/>
  <c r="AR77" i="4" s="1"/>
  <c r="AS77" i="4"/>
  <c r="AT77" i="4" s="1"/>
  <c r="AX77" i="4" a="1"/>
  <c r="AX77" i="4" s="1"/>
  <c r="AY77" i="4" a="1"/>
  <c r="AY77" i="4" s="1"/>
  <c r="AZ77" i="4" a="1"/>
  <c r="AZ77" i="4" s="1"/>
  <c r="BA77" i="4" a="1"/>
  <c r="BA77" i="4" s="1"/>
  <c r="BB77" i="4" a="1"/>
  <c r="BB77" i="4" s="1"/>
  <c r="BC77" i="4" a="1"/>
  <c r="BC77" i="4" s="1"/>
  <c r="BD77" i="4" a="1"/>
  <c r="BD77" i="4" s="1"/>
  <c r="BE77" i="4" a="1"/>
  <c r="BE77" i="4" s="1"/>
  <c r="AO78" i="4"/>
  <c r="AP78" i="4" s="1"/>
  <c r="AQ78" i="4"/>
  <c r="AR78" i="4" s="1"/>
  <c r="AS78" i="4"/>
  <c r="AT78" i="4" s="1"/>
  <c r="AX78" i="4" a="1"/>
  <c r="AX78" i="4" s="1"/>
  <c r="AY78" i="4" a="1"/>
  <c r="AY78" i="4" s="1"/>
  <c r="AZ78" i="4" a="1"/>
  <c r="AZ78" i="4" s="1"/>
  <c r="BA78" i="4" a="1"/>
  <c r="BA78" i="4" s="1"/>
  <c r="BB78" i="4" a="1"/>
  <c r="BB78" i="4" s="1"/>
  <c r="BC78" i="4" a="1"/>
  <c r="BC78" i="4" s="1"/>
  <c r="BD78" i="4" a="1"/>
  <c r="BD78" i="4" s="1"/>
  <c r="BE78" i="4" a="1"/>
  <c r="BE78" i="4" s="1"/>
  <c r="AO79" i="4"/>
  <c r="AP79" i="4" s="1"/>
  <c r="AQ79" i="4"/>
  <c r="AR79" i="4" s="1"/>
  <c r="AS79" i="4"/>
  <c r="AT79" i="4" s="1"/>
  <c r="AX79" i="4" a="1"/>
  <c r="AX79" i="4" s="1"/>
  <c r="AY79" i="4" a="1"/>
  <c r="AY79" i="4" s="1"/>
  <c r="AZ79" i="4" a="1"/>
  <c r="AZ79" i="4" s="1"/>
  <c r="BA79" i="4" a="1"/>
  <c r="BA79" i="4" s="1"/>
  <c r="BB79" i="4" a="1"/>
  <c r="BB79" i="4" s="1"/>
  <c r="BC79" i="4" a="1"/>
  <c r="BC79" i="4" s="1"/>
  <c r="BD79" i="4" a="1"/>
  <c r="BD79" i="4" s="1"/>
  <c r="BE79" i="4" a="1"/>
  <c r="BE79" i="4" s="1"/>
  <c r="AO80" i="4"/>
  <c r="AP80" i="4" s="1"/>
  <c r="AQ80" i="4"/>
  <c r="AR80" i="4" s="1"/>
  <c r="AS80" i="4"/>
  <c r="AT80" i="4" s="1"/>
  <c r="AX80" i="4" a="1"/>
  <c r="AX80" i="4" s="1"/>
  <c r="AY80" i="4" a="1"/>
  <c r="AY80" i="4" s="1"/>
  <c r="AZ80" i="4" a="1"/>
  <c r="AZ80" i="4" s="1"/>
  <c r="BA80" i="4" a="1"/>
  <c r="BA80" i="4" s="1"/>
  <c r="BB80" i="4" a="1"/>
  <c r="BB80" i="4" s="1"/>
  <c r="BC80" i="4" a="1"/>
  <c r="BC80" i="4" s="1"/>
  <c r="BD80" i="4" a="1"/>
  <c r="BD80" i="4" s="1"/>
  <c r="BE80" i="4" a="1"/>
  <c r="BE80" i="4" s="1"/>
  <c r="AO81" i="4"/>
  <c r="AP81" i="4" s="1"/>
  <c r="AQ81" i="4"/>
  <c r="AR81" i="4" s="1"/>
  <c r="AS81" i="4"/>
  <c r="AT81" i="4" s="1"/>
  <c r="AX81" i="4" a="1"/>
  <c r="AX81" i="4" s="1"/>
  <c r="AY81" i="4" a="1"/>
  <c r="AY81" i="4" s="1"/>
  <c r="AZ81" i="4" a="1"/>
  <c r="AZ81" i="4" s="1"/>
  <c r="BA81" i="4" a="1"/>
  <c r="BA81" i="4" s="1"/>
  <c r="BB81" i="4" a="1"/>
  <c r="BB81" i="4" s="1"/>
  <c r="BC81" i="4" a="1"/>
  <c r="BC81" i="4" s="1"/>
  <c r="BD81" i="4" a="1"/>
  <c r="BD81" i="4" s="1"/>
  <c r="BE81" i="4" a="1"/>
  <c r="BE81" i="4" s="1"/>
  <c r="AO82" i="4"/>
  <c r="AP82" i="4" s="1"/>
  <c r="AQ82" i="4"/>
  <c r="AR82" i="4" s="1"/>
  <c r="AS82" i="4"/>
  <c r="AT82" i="4" s="1"/>
  <c r="AX82" i="4" a="1"/>
  <c r="AX82" i="4" s="1"/>
  <c r="AY82" i="4" a="1"/>
  <c r="AY82" i="4" s="1"/>
  <c r="AZ82" i="4" a="1"/>
  <c r="AZ82" i="4" s="1"/>
  <c r="BA82" i="4" a="1"/>
  <c r="BA82" i="4" s="1"/>
  <c r="BB82" i="4" a="1"/>
  <c r="BB82" i="4" s="1"/>
  <c r="BC82" i="4" a="1"/>
  <c r="BC82" i="4" s="1"/>
  <c r="BD82" i="4" a="1"/>
  <c r="BD82" i="4" s="1"/>
  <c r="BE82" i="4" a="1"/>
  <c r="BE82" i="4" s="1"/>
  <c r="AO83" i="4"/>
  <c r="AP83" i="4" s="1"/>
  <c r="AQ83" i="4"/>
  <c r="AR83" i="4" s="1"/>
  <c r="AS83" i="4"/>
  <c r="AT83" i="4" s="1"/>
  <c r="AX83" i="4" a="1"/>
  <c r="AX83" i="4" s="1"/>
  <c r="AY83" i="4" a="1"/>
  <c r="AY83" i="4" s="1"/>
  <c r="AZ83" i="4" a="1"/>
  <c r="AZ83" i="4" s="1"/>
  <c r="BA83" i="4" a="1"/>
  <c r="BA83" i="4" s="1"/>
  <c r="BB83" i="4" a="1"/>
  <c r="BB83" i="4" s="1"/>
  <c r="BC83" i="4" a="1"/>
  <c r="BC83" i="4" s="1"/>
  <c r="BD83" i="4" a="1"/>
  <c r="BD83" i="4" s="1"/>
  <c r="BE83" i="4" a="1"/>
  <c r="BE83" i="4" s="1"/>
  <c r="AO84" i="4"/>
  <c r="AP84" i="4" s="1"/>
  <c r="AQ84" i="4"/>
  <c r="AR84" i="4" s="1"/>
  <c r="AS84" i="4"/>
  <c r="AT84" i="4" s="1"/>
  <c r="AX84" i="4" a="1"/>
  <c r="AX84" i="4" s="1"/>
  <c r="AY84" i="4" a="1"/>
  <c r="AY84" i="4" s="1"/>
  <c r="AZ84" i="4" a="1"/>
  <c r="AZ84" i="4" s="1"/>
  <c r="BA84" i="4" a="1"/>
  <c r="BA84" i="4" s="1"/>
  <c r="BB84" i="4" a="1"/>
  <c r="BB84" i="4" s="1"/>
  <c r="BC84" i="4" a="1"/>
  <c r="BC84" i="4" s="1"/>
  <c r="BD84" i="4" a="1"/>
  <c r="BD84" i="4" s="1"/>
  <c r="BE84" i="4" a="1"/>
  <c r="BE84" i="4" s="1"/>
  <c r="AO85" i="4"/>
  <c r="AP85" i="4" s="1"/>
  <c r="AQ85" i="4"/>
  <c r="AR85" i="4" s="1"/>
  <c r="AS85" i="4"/>
  <c r="AT85" i="4" s="1"/>
  <c r="AX85" i="4" a="1"/>
  <c r="AX85" i="4" s="1"/>
  <c r="AY85" i="4" a="1"/>
  <c r="AY85" i="4" s="1"/>
  <c r="AZ85" i="4" a="1"/>
  <c r="AZ85" i="4" s="1"/>
  <c r="BA85" i="4" a="1"/>
  <c r="BA85" i="4" s="1"/>
  <c r="BB85" i="4" a="1"/>
  <c r="BB85" i="4" s="1"/>
  <c r="BC85" i="4" a="1"/>
  <c r="BC85" i="4" s="1"/>
  <c r="BD85" i="4" a="1"/>
  <c r="BD85" i="4" s="1"/>
  <c r="BE85" i="4" a="1"/>
  <c r="BE85" i="4" s="1"/>
  <c r="AO86" i="4"/>
  <c r="AP86" i="4" s="1"/>
  <c r="AQ86" i="4"/>
  <c r="AR86" i="4" s="1"/>
  <c r="AS86" i="4"/>
  <c r="AT86" i="4" s="1"/>
  <c r="AX86" i="4" a="1"/>
  <c r="AX86" i="4" s="1"/>
  <c r="AY86" i="4" a="1"/>
  <c r="AY86" i="4" s="1"/>
  <c r="AZ86" i="4" a="1"/>
  <c r="AZ86" i="4" s="1"/>
  <c r="BA86" i="4" a="1"/>
  <c r="BA86" i="4" s="1"/>
  <c r="BB86" i="4" a="1"/>
  <c r="BB86" i="4" s="1"/>
  <c r="BC86" i="4" a="1"/>
  <c r="BC86" i="4" s="1"/>
  <c r="BD86" i="4" a="1"/>
  <c r="BD86" i="4"/>
  <c r="BE86" i="4" a="1"/>
  <c r="BE86" i="4" s="1"/>
  <c r="AO87" i="4"/>
  <c r="AP87" i="4" s="1"/>
  <c r="AQ87" i="4"/>
  <c r="AR87" i="4" s="1"/>
  <c r="AS87" i="4"/>
  <c r="AT87" i="4" s="1"/>
  <c r="AX87" i="4" a="1"/>
  <c r="AX87" i="4" s="1"/>
  <c r="AY87" i="4" a="1"/>
  <c r="AY87" i="4" s="1"/>
  <c r="AZ87" i="4" a="1"/>
  <c r="AZ87" i="4" s="1"/>
  <c r="BA87" i="4" a="1"/>
  <c r="BA87" i="4" s="1"/>
  <c r="BB87" i="4" a="1"/>
  <c r="BB87" i="4" s="1"/>
  <c r="BC87" i="4" a="1"/>
  <c r="BC87" i="4" s="1"/>
  <c r="BD87" i="4" a="1"/>
  <c r="BD87" i="4" s="1"/>
  <c r="BE87" i="4" a="1"/>
  <c r="BE87" i="4" s="1"/>
  <c r="AO88" i="4"/>
  <c r="AP88" i="4" s="1"/>
  <c r="AQ88" i="4"/>
  <c r="AR88" i="4" s="1"/>
  <c r="AS88" i="4"/>
  <c r="AT88" i="4" s="1"/>
  <c r="AX88" i="4" a="1"/>
  <c r="AX88" i="4" s="1"/>
  <c r="AY88" i="4" a="1"/>
  <c r="AY88" i="4" s="1"/>
  <c r="AZ88" i="4" a="1"/>
  <c r="AZ88" i="4" s="1"/>
  <c r="BA88" i="4" a="1"/>
  <c r="BA88" i="4" s="1"/>
  <c r="BB88" i="4" a="1"/>
  <c r="BB88" i="4" s="1"/>
  <c r="BC88" i="4" a="1"/>
  <c r="BC88" i="4" s="1"/>
  <c r="BD88" i="4" a="1"/>
  <c r="BD88" i="4" s="1"/>
  <c r="BE88" i="4" a="1"/>
  <c r="BE88" i="4"/>
  <c r="AO89" i="4"/>
  <c r="AP89" i="4" s="1"/>
  <c r="AQ89" i="4"/>
  <c r="AR89" i="4" s="1"/>
  <c r="AS89" i="4"/>
  <c r="AT89" i="4" s="1"/>
  <c r="AX89" i="4" a="1"/>
  <c r="AX89" i="4" s="1"/>
  <c r="AY89" i="4" a="1"/>
  <c r="AY89" i="4" s="1"/>
  <c r="AZ89" i="4" a="1"/>
  <c r="AZ89" i="4" s="1"/>
  <c r="BA89" i="4" a="1"/>
  <c r="BA89" i="4" s="1"/>
  <c r="BB89" i="4" a="1"/>
  <c r="BB89" i="4" s="1"/>
  <c r="BC89" i="4" a="1"/>
  <c r="BC89" i="4" s="1"/>
  <c r="BD89" i="4" a="1"/>
  <c r="BD89" i="4" s="1"/>
  <c r="BE89" i="4" a="1"/>
  <c r="BE89" i="4" s="1"/>
  <c r="AO90" i="4"/>
  <c r="AP90" i="4" s="1"/>
  <c r="AQ90" i="4"/>
  <c r="AR90" i="4" s="1"/>
  <c r="AS90" i="4"/>
  <c r="AT90" i="4" s="1"/>
  <c r="AX90" i="4" a="1"/>
  <c r="AX90" i="4" s="1"/>
  <c r="AY90" i="4" a="1"/>
  <c r="AY90" i="4" s="1"/>
  <c r="AZ90" i="4" a="1"/>
  <c r="AZ90" i="4" s="1"/>
  <c r="BA90" i="4" a="1"/>
  <c r="BA90" i="4" s="1"/>
  <c r="BB90" i="4" a="1"/>
  <c r="BB90" i="4" s="1"/>
  <c r="BC90" i="4" a="1"/>
  <c r="BC90" i="4" s="1"/>
  <c r="BD90" i="4" a="1"/>
  <c r="BD90" i="4" s="1"/>
  <c r="BE90" i="4" a="1"/>
  <c r="BE90" i="4" s="1"/>
  <c r="AO91" i="4"/>
  <c r="AP91" i="4" s="1"/>
  <c r="AQ91" i="4"/>
  <c r="AR91" i="4" s="1"/>
  <c r="AS91" i="4"/>
  <c r="AT91" i="4" s="1"/>
  <c r="AX91" i="4" a="1"/>
  <c r="AX91" i="4" s="1"/>
  <c r="AY91" i="4" a="1"/>
  <c r="AY91" i="4" s="1"/>
  <c r="AZ91" i="4" a="1"/>
  <c r="AZ91" i="4" s="1"/>
  <c r="BA91" i="4" a="1"/>
  <c r="BA91" i="4" s="1"/>
  <c r="BB91" i="4" a="1"/>
  <c r="BB91" i="4" s="1"/>
  <c r="BC91" i="4" a="1"/>
  <c r="BC91" i="4" s="1"/>
  <c r="BD91" i="4" a="1"/>
  <c r="BD91" i="4" s="1"/>
  <c r="BE91" i="4" a="1"/>
  <c r="BE91" i="4" s="1"/>
  <c r="AO92" i="4"/>
  <c r="AP92" i="4" s="1"/>
  <c r="AQ92" i="4"/>
  <c r="AR92" i="4" s="1"/>
  <c r="AS92" i="4"/>
  <c r="AT92" i="4" s="1"/>
  <c r="AX92" i="4" a="1"/>
  <c r="AX92" i="4" s="1"/>
  <c r="AY92" i="4" a="1"/>
  <c r="AY92" i="4" s="1"/>
  <c r="AZ92" i="4" a="1"/>
  <c r="AZ92" i="4" s="1"/>
  <c r="BA92" i="4" a="1"/>
  <c r="BA92" i="4" s="1"/>
  <c r="BB92" i="4" a="1"/>
  <c r="BB92" i="4" s="1"/>
  <c r="BC92" i="4" a="1"/>
  <c r="BC92" i="4" s="1"/>
  <c r="BD92" i="4" a="1"/>
  <c r="BD92" i="4" s="1"/>
  <c r="BE92" i="4" a="1"/>
  <c r="BE92" i="4" s="1"/>
  <c r="AO93" i="4"/>
  <c r="AP93" i="4" s="1"/>
  <c r="AQ93" i="4"/>
  <c r="AR93" i="4" s="1"/>
  <c r="AS93" i="4"/>
  <c r="AT93" i="4" s="1"/>
  <c r="AX93" i="4" a="1"/>
  <c r="AX93" i="4" s="1"/>
  <c r="AY93" i="4" a="1"/>
  <c r="AY93" i="4" s="1"/>
  <c r="AZ93" i="4" a="1"/>
  <c r="AZ93" i="4" s="1"/>
  <c r="BA93" i="4" a="1"/>
  <c r="BA93" i="4" s="1"/>
  <c r="BB93" i="4" a="1"/>
  <c r="BB93" i="4" s="1"/>
  <c r="BC93" i="4" a="1"/>
  <c r="BC93" i="4" s="1"/>
  <c r="BD93" i="4" a="1"/>
  <c r="BD93" i="4" s="1"/>
  <c r="BE93" i="4" a="1"/>
  <c r="BE93" i="4" s="1"/>
  <c r="AO94" i="4"/>
  <c r="AP94" i="4" s="1"/>
  <c r="AQ94" i="4"/>
  <c r="AR94" i="4" s="1"/>
  <c r="AS94" i="4"/>
  <c r="AT94" i="4" s="1"/>
  <c r="AX94" i="4" a="1"/>
  <c r="AX94" i="4" s="1"/>
  <c r="AY94" i="4" a="1"/>
  <c r="AY94" i="4" s="1"/>
  <c r="AZ94" i="4" a="1"/>
  <c r="AZ94" i="4" s="1"/>
  <c r="BA94" i="4" a="1"/>
  <c r="BA94" i="4" s="1"/>
  <c r="BB94" i="4" a="1"/>
  <c r="BB94" i="4" s="1"/>
  <c r="BC94" i="4" a="1"/>
  <c r="BC94" i="4" s="1"/>
  <c r="BD94" i="4" a="1"/>
  <c r="BD94" i="4" s="1"/>
  <c r="BE94" i="4" a="1"/>
  <c r="BE94" i="4" s="1"/>
  <c r="AO95" i="4"/>
  <c r="AP95" i="4" s="1"/>
  <c r="AQ95" i="4"/>
  <c r="AR95" i="4" s="1"/>
  <c r="AS95" i="4"/>
  <c r="AT95" i="4" s="1"/>
  <c r="AX95" i="4" a="1"/>
  <c r="AX95" i="4" s="1"/>
  <c r="AY95" i="4" a="1"/>
  <c r="AY95" i="4" s="1"/>
  <c r="AZ95" i="4" a="1"/>
  <c r="AZ95" i="4" s="1"/>
  <c r="BA95" i="4" a="1"/>
  <c r="BA95" i="4" s="1"/>
  <c r="BB95" i="4" a="1"/>
  <c r="BB95" i="4" s="1"/>
  <c r="BC95" i="4" a="1"/>
  <c r="BC95" i="4" s="1"/>
  <c r="BD95" i="4" a="1"/>
  <c r="BD95" i="4" s="1"/>
  <c r="BE95" i="4" a="1"/>
  <c r="BE95" i="4" s="1"/>
  <c r="AO96" i="4"/>
  <c r="AP96" i="4" s="1"/>
  <c r="AQ96" i="4"/>
  <c r="AR96" i="4" s="1"/>
  <c r="AS96" i="4"/>
  <c r="AT96" i="4" s="1"/>
  <c r="AX96" i="4" a="1"/>
  <c r="AX96" i="4" s="1"/>
  <c r="AY96" i="4" a="1"/>
  <c r="AY96" i="4" s="1"/>
  <c r="AZ96" i="4" a="1"/>
  <c r="AZ96" i="4" s="1"/>
  <c r="BA96" i="4" a="1"/>
  <c r="BA96" i="4" s="1"/>
  <c r="BB96" i="4" a="1"/>
  <c r="BB96" i="4" s="1"/>
  <c r="BC96" i="4" a="1"/>
  <c r="BC96" i="4" s="1"/>
  <c r="BD96" i="4" a="1"/>
  <c r="BD96" i="4" s="1"/>
  <c r="BE96" i="4" a="1"/>
  <c r="BE96" i="4" s="1"/>
  <c r="AO97" i="4"/>
  <c r="AP97" i="4" s="1"/>
  <c r="AQ97" i="4"/>
  <c r="AR97" i="4" s="1"/>
  <c r="AS97" i="4"/>
  <c r="AT97" i="4" s="1"/>
  <c r="AX97" i="4" a="1"/>
  <c r="AX97" i="4" s="1"/>
  <c r="AY97" i="4" a="1"/>
  <c r="AY97" i="4" s="1"/>
  <c r="AZ97" i="4" a="1"/>
  <c r="AZ97" i="4" s="1"/>
  <c r="BA97" i="4" a="1"/>
  <c r="BA97" i="4" s="1"/>
  <c r="BB97" i="4" a="1"/>
  <c r="BB97" i="4" s="1"/>
  <c r="BC97" i="4" a="1"/>
  <c r="BC97" i="4" s="1"/>
  <c r="BD97" i="4" a="1"/>
  <c r="BD97" i="4" s="1"/>
  <c r="BE97" i="4" a="1"/>
  <c r="BE97" i="4" s="1"/>
  <c r="AO98" i="4"/>
  <c r="AP98" i="4" s="1"/>
  <c r="AQ98" i="4"/>
  <c r="AR98" i="4" s="1"/>
  <c r="AS98" i="4"/>
  <c r="AT98" i="4" s="1"/>
  <c r="AX98" i="4" a="1"/>
  <c r="AX98" i="4" s="1"/>
  <c r="AY98" i="4" a="1"/>
  <c r="AY98" i="4" s="1"/>
  <c r="AZ98" i="4" a="1"/>
  <c r="AZ98" i="4" s="1"/>
  <c r="BA98" i="4" a="1"/>
  <c r="BA98" i="4" s="1"/>
  <c r="BB98" i="4" a="1"/>
  <c r="BB98" i="4" s="1"/>
  <c r="BC98" i="4" a="1"/>
  <c r="BC98" i="4" s="1"/>
  <c r="BD98" i="4" a="1"/>
  <c r="BD98" i="4" s="1"/>
  <c r="BE98" i="4" a="1"/>
  <c r="BE98" i="4" s="1"/>
  <c r="AO99" i="4"/>
  <c r="AP99" i="4" s="1"/>
  <c r="AQ99" i="4"/>
  <c r="AR99" i="4" s="1"/>
  <c r="AS99" i="4"/>
  <c r="AT99" i="4" s="1"/>
  <c r="AX99" i="4" a="1"/>
  <c r="AX99" i="4" s="1"/>
  <c r="AY99" i="4" a="1"/>
  <c r="AY99" i="4" s="1"/>
  <c r="AZ99" i="4" a="1"/>
  <c r="AZ99" i="4" s="1"/>
  <c r="BA99" i="4" a="1"/>
  <c r="BA99" i="4" s="1"/>
  <c r="BB99" i="4" a="1"/>
  <c r="BB99" i="4" s="1"/>
  <c r="BC99" i="4" a="1"/>
  <c r="BC99" i="4" s="1"/>
  <c r="BD99" i="4" a="1"/>
  <c r="BD99" i="4" s="1"/>
  <c r="BE99" i="4" a="1"/>
  <c r="BE99" i="4" s="1"/>
  <c r="AO100" i="4"/>
  <c r="AP100" i="4" s="1"/>
  <c r="AQ100" i="4"/>
  <c r="AR100" i="4" s="1"/>
  <c r="AS100" i="4"/>
  <c r="AT100" i="4" s="1"/>
  <c r="AX100" i="4" a="1"/>
  <c r="AX100" i="4" s="1"/>
  <c r="AY100" i="4" a="1"/>
  <c r="AY100" i="4" s="1"/>
  <c r="AZ100" i="4" a="1"/>
  <c r="AZ100" i="4" s="1"/>
  <c r="BA100" i="4" a="1"/>
  <c r="BA100" i="4" s="1"/>
  <c r="BB100" i="4" a="1"/>
  <c r="BB100" i="4" s="1"/>
  <c r="BC100" i="4" a="1"/>
  <c r="BC100" i="4" s="1"/>
  <c r="BD100" i="4" a="1"/>
  <c r="BD100" i="4" s="1"/>
  <c r="BE100" i="4" a="1"/>
  <c r="BE100" i="4" s="1"/>
  <c r="AO101" i="4"/>
  <c r="AP101" i="4" s="1"/>
  <c r="AQ101" i="4"/>
  <c r="AR101" i="4" s="1"/>
  <c r="AS101" i="4"/>
  <c r="AT101" i="4" s="1"/>
  <c r="AX101" i="4" a="1"/>
  <c r="AX101" i="4" s="1"/>
  <c r="AY101" i="4" a="1"/>
  <c r="AY101" i="4" s="1"/>
  <c r="AZ101" i="4" a="1"/>
  <c r="AZ101" i="4" s="1"/>
  <c r="BA101" i="4" a="1"/>
  <c r="BA101" i="4" s="1"/>
  <c r="BB101" i="4" a="1"/>
  <c r="BB101" i="4" s="1"/>
  <c r="BC101" i="4" a="1"/>
  <c r="BC101" i="4" s="1"/>
  <c r="BD101" i="4" a="1"/>
  <c r="BD101" i="4" s="1"/>
  <c r="BE101" i="4" a="1"/>
  <c r="BE101" i="4" s="1"/>
  <c r="AO102" i="4"/>
  <c r="AP102" i="4" s="1"/>
  <c r="AQ102" i="4"/>
  <c r="AR102" i="4" s="1"/>
  <c r="AS102" i="4"/>
  <c r="AT102" i="4" s="1"/>
  <c r="AX102" i="4" a="1"/>
  <c r="AX102" i="4" s="1"/>
  <c r="AY102" i="4" a="1"/>
  <c r="AY102" i="4" s="1"/>
  <c r="AZ102" i="4" a="1"/>
  <c r="AZ102" i="4" s="1"/>
  <c r="BA102" i="4" a="1"/>
  <c r="BA102" i="4" s="1"/>
  <c r="BB102" i="4" a="1"/>
  <c r="BB102" i="4" s="1"/>
  <c r="BC102" i="4" a="1"/>
  <c r="BC102" i="4" s="1"/>
  <c r="BD102" i="4" a="1"/>
  <c r="BD102" i="4" s="1"/>
  <c r="BE102" i="4" a="1"/>
  <c r="BE102" i="4" s="1"/>
  <c r="AO103" i="4"/>
  <c r="AP103" i="4" s="1"/>
  <c r="AQ103" i="4"/>
  <c r="AR103" i="4" s="1"/>
  <c r="AS103" i="4"/>
  <c r="AT103" i="4" s="1"/>
  <c r="AX103" i="4" a="1"/>
  <c r="AX103" i="4" s="1"/>
  <c r="AY103" i="4" a="1"/>
  <c r="AY103" i="4" s="1"/>
  <c r="AZ103" i="4" a="1"/>
  <c r="AZ103" i="4" s="1"/>
  <c r="BA103" i="4" a="1"/>
  <c r="BA103" i="4" s="1"/>
  <c r="BB103" i="4" a="1"/>
  <c r="BB103" i="4" s="1"/>
  <c r="BC103" i="4" a="1"/>
  <c r="BC103" i="4" s="1"/>
  <c r="BD103" i="4" a="1"/>
  <c r="BD103" i="4" s="1"/>
  <c r="BE103" i="4" a="1"/>
  <c r="BE103" i="4" s="1"/>
  <c r="AO104" i="4"/>
  <c r="AP104" i="4" s="1"/>
  <c r="AQ104" i="4"/>
  <c r="AR104" i="4" s="1"/>
  <c r="AS104" i="4"/>
  <c r="AT104" i="4" s="1"/>
  <c r="AX104" i="4" a="1"/>
  <c r="AX104" i="4" s="1"/>
  <c r="AY104" i="4" a="1"/>
  <c r="AY104" i="4" s="1"/>
  <c r="AZ104" i="4" a="1"/>
  <c r="AZ104" i="4" s="1"/>
  <c r="BA104" i="4" a="1"/>
  <c r="BA104" i="4" s="1"/>
  <c r="BB104" i="4" a="1"/>
  <c r="BB104" i="4" s="1"/>
  <c r="BC104" i="4" a="1"/>
  <c r="BC104" i="4" s="1"/>
  <c r="BD104" i="4" a="1"/>
  <c r="BD104" i="4" s="1"/>
  <c r="BE104" i="4" a="1"/>
  <c r="BE104" i="4" s="1"/>
  <c r="AO105" i="4"/>
  <c r="AP105" i="4" s="1"/>
  <c r="AQ105" i="4"/>
  <c r="AR105" i="4" s="1"/>
  <c r="AS105" i="4"/>
  <c r="AT105" i="4" s="1"/>
  <c r="AX105" i="4" a="1"/>
  <c r="AX105" i="4" s="1"/>
  <c r="AY105" i="4" a="1"/>
  <c r="AY105" i="4" s="1"/>
  <c r="AZ105" i="4" a="1"/>
  <c r="AZ105" i="4" s="1"/>
  <c r="BA105" i="4" a="1"/>
  <c r="BA105" i="4" s="1"/>
  <c r="BB105" i="4" a="1"/>
  <c r="BB105" i="4" s="1"/>
  <c r="BC105" i="4" a="1"/>
  <c r="BC105" i="4" s="1"/>
  <c r="BD105" i="4" a="1"/>
  <c r="BD105" i="4" s="1"/>
  <c r="BE105" i="4" a="1"/>
  <c r="BE105" i="4" s="1"/>
  <c r="AO106" i="4"/>
  <c r="AP106" i="4" s="1"/>
  <c r="AQ106" i="4"/>
  <c r="AR106" i="4" s="1"/>
  <c r="AS106" i="4"/>
  <c r="AT106" i="4" s="1"/>
  <c r="AX106" i="4" a="1"/>
  <c r="AX106" i="4" s="1"/>
  <c r="AY106" i="4" a="1"/>
  <c r="AY106" i="4" s="1"/>
  <c r="AZ106" i="4" a="1"/>
  <c r="AZ106" i="4" s="1"/>
  <c r="BA106" i="4" a="1"/>
  <c r="BA106" i="4" s="1"/>
  <c r="BB106" i="4" a="1"/>
  <c r="BB106" i="4" s="1"/>
  <c r="BC106" i="4" a="1"/>
  <c r="BC106" i="4" s="1"/>
  <c r="BD106" i="4" a="1"/>
  <c r="BD106" i="4" s="1"/>
  <c r="BE106" i="4" a="1"/>
  <c r="BE106" i="4" s="1"/>
  <c r="AO107" i="4"/>
  <c r="AP107" i="4" s="1"/>
  <c r="AQ107" i="4"/>
  <c r="AR107" i="4" s="1"/>
  <c r="AS107" i="4"/>
  <c r="AT107" i="4" s="1"/>
  <c r="AX107" i="4" a="1"/>
  <c r="AX107" i="4" s="1"/>
  <c r="AY107" i="4" a="1"/>
  <c r="AY107" i="4" s="1"/>
  <c r="AZ107" i="4" a="1"/>
  <c r="AZ107" i="4" s="1"/>
  <c r="BA107" i="4" a="1"/>
  <c r="BA107" i="4" s="1"/>
  <c r="BB107" i="4" a="1"/>
  <c r="BB107" i="4" s="1"/>
  <c r="BC107" i="4" a="1"/>
  <c r="BC107" i="4" s="1"/>
  <c r="BD107" i="4" a="1"/>
  <c r="BD107" i="4" s="1"/>
  <c r="BE107" i="4" a="1"/>
  <c r="BE107" i="4" s="1"/>
  <c r="AO108" i="4"/>
  <c r="AP108" i="4" s="1"/>
  <c r="AQ108" i="4"/>
  <c r="AR108" i="4" s="1"/>
  <c r="AS108" i="4"/>
  <c r="AT108" i="4" s="1"/>
  <c r="AX108" i="4" a="1"/>
  <c r="AX108" i="4" s="1"/>
  <c r="AY108" i="4" a="1"/>
  <c r="AY108" i="4" s="1"/>
  <c r="AZ108" i="4" a="1"/>
  <c r="AZ108" i="4" s="1"/>
  <c r="BA108" i="4" a="1"/>
  <c r="BA108" i="4" s="1"/>
  <c r="BB108" i="4" a="1"/>
  <c r="BB108" i="4" s="1"/>
  <c r="BC108" i="4" a="1"/>
  <c r="BC108" i="4" s="1"/>
  <c r="BD108" i="4" a="1"/>
  <c r="BD108" i="4" s="1"/>
  <c r="BE108" i="4" a="1"/>
  <c r="BE108" i="4" s="1"/>
  <c r="AO109" i="4"/>
  <c r="AP109" i="4" s="1"/>
  <c r="AQ109" i="4"/>
  <c r="AR109" i="4" s="1"/>
  <c r="AS109" i="4"/>
  <c r="AT109" i="4" s="1"/>
  <c r="AX109" i="4" a="1"/>
  <c r="AX109" i="4" s="1"/>
  <c r="AY109" i="4" a="1"/>
  <c r="AY109" i="4" s="1"/>
  <c r="AZ109" i="4" a="1"/>
  <c r="AZ109" i="4" s="1"/>
  <c r="BA109" i="4" a="1"/>
  <c r="BA109" i="4" s="1"/>
  <c r="BB109" i="4" a="1"/>
  <c r="BB109" i="4" s="1"/>
  <c r="BC109" i="4" a="1"/>
  <c r="BC109" i="4" s="1"/>
  <c r="BD109" i="4" a="1"/>
  <c r="BD109" i="4" s="1"/>
  <c r="BE109" i="4" a="1"/>
  <c r="BE109" i="4" s="1"/>
  <c r="AO110" i="4"/>
  <c r="AP110" i="4" s="1"/>
  <c r="AQ110" i="4"/>
  <c r="AR110" i="4" s="1"/>
  <c r="AS110" i="4"/>
  <c r="AT110" i="4" s="1"/>
  <c r="AX110" i="4" a="1"/>
  <c r="AX110" i="4" s="1"/>
  <c r="AY110" i="4" a="1"/>
  <c r="AY110" i="4" s="1"/>
  <c r="AZ110" i="4" a="1"/>
  <c r="AZ110" i="4" s="1"/>
  <c r="BA110" i="4" a="1"/>
  <c r="BA110" i="4" s="1"/>
  <c r="BB110" i="4" a="1"/>
  <c r="BB110" i="4" s="1"/>
  <c r="BC110" i="4" a="1"/>
  <c r="BC110" i="4" s="1"/>
  <c r="BD110" i="4" a="1"/>
  <c r="BD110" i="4" s="1"/>
  <c r="BE110" i="4" a="1"/>
  <c r="BE110" i="4" s="1"/>
  <c r="AO111" i="4"/>
  <c r="AP111" i="4" s="1"/>
  <c r="AQ111" i="4"/>
  <c r="AR111" i="4" s="1"/>
  <c r="AS111" i="4"/>
  <c r="AT111" i="4" s="1"/>
  <c r="AX111" i="4" a="1"/>
  <c r="AX111" i="4" s="1"/>
  <c r="AY111" i="4" a="1"/>
  <c r="AY111" i="4" s="1"/>
  <c r="AZ111" i="4" a="1"/>
  <c r="AZ111" i="4" s="1"/>
  <c r="BA111" i="4" a="1"/>
  <c r="BA111" i="4" s="1"/>
  <c r="BB111" i="4" a="1"/>
  <c r="BB111" i="4" s="1"/>
  <c r="BC111" i="4" a="1"/>
  <c r="BC111" i="4" s="1"/>
  <c r="BD111" i="4" a="1"/>
  <c r="BD111" i="4" s="1"/>
  <c r="BE111" i="4" a="1"/>
  <c r="BE111" i="4" s="1"/>
  <c r="AO112" i="4"/>
  <c r="AP112" i="4" s="1"/>
  <c r="AQ112" i="4"/>
  <c r="AR112" i="4" s="1"/>
  <c r="AS112" i="4"/>
  <c r="AT112" i="4" s="1"/>
  <c r="AX112" i="4" a="1"/>
  <c r="AX112" i="4" s="1"/>
  <c r="AY112" i="4" a="1"/>
  <c r="AY112" i="4" s="1"/>
  <c r="AZ112" i="4" a="1"/>
  <c r="AZ112" i="4" s="1"/>
  <c r="BA112" i="4" a="1"/>
  <c r="BA112" i="4" s="1"/>
  <c r="BB112" i="4" a="1"/>
  <c r="BB112" i="4" s="1"/>
  <c r="BC112" i="4" a="1"/>
  <c r="BC112" i="4" s="1"/>
  <c r="BD112" i="4" a="1"/>
  <c r="BD112" i="4" s="1"/>
  <c r="BE112" i="4" a="1"/>
  <c r="BE112" i="4" s="1"/>
  <c r="AO113" i="4"/>
  <c r="AP113" i="4" s="1"/>
  <c r="AQ113" i="4"/>
  <c r="AR113" i="4" s="1"/>
  <c r="AS113" i="4"/>
  <c r="AT113" i="4" s="1"/>
  <c r="AX113" i="4" a="1"/>
  <c r="AX113" i="4" s="1"/>
  <c r="AY113" i="4" a="1"/>
  <c r="AY113" i="4" s="1"/>
  <c r="AZ113" i="4" a="1"/>
  <c r="AZ113" i="4" s="1"/>
  <c r="BA113" i="4" a="1"/>
  <c r="BA113" i="4" s="1"/>
  <c r="BB113" i="4" a="1"/>
  <c r="BB113" i="4" s="1"/>
  <c r="BC113" i="4" a="1"/>
  <c r="BC113" i="4" s="1"/>
  <c r="BD113" i="4" a="1"/>
  <c r="BD113" i="4" s="1"/>
  <c r="BE113" i="4" a="1"/>
  <c r="BE113" i="4" s="1"/>
  <c r="AO114" i="4"/>
  <c r="AP114" i="4" s="1"/>
  <c r="AQ114" i="4"/>
  <c r="AR114" i="4" s="1"/>
  <c r="AS114" i="4"/>
  <c r="AT114" i="4" s="1"/>
  <c r="AX114" i="4" a="1"/>
  <c r="AX114" i="4" s="1"/>
  <c r="AY114" i="4" a="1"/>
  <c r="AY114" i="4" s="1"/>
  <c r="AZ114" i="4" a="1"/>
  <c r="AZ114" i="4" s="1"/>
  <c r="BA114" i="4" a="1"/>
  <c r="BA114" i="4" s="1"/>
  <c r="BB114" i="4" a="1"/>
  <c r="BB114" i="4" s="1"/>
  <c r="BC114" i="4" a="1"/>
  <c r="BC114" i="4" s="1"/>
  <c r="BD114" i="4" a="1"/>
  <c r="BD114" i="4" s="1"/>
  <c r="BE114" i="4" a="1"/>
  <c r="BE114" i="4" s="1"/>
  <c r="AO115" i="4"/>
  <c r="AP115" i="4" s="1"/>
  <c r="AQ115" i="4"/>
  <c r="AR115" i="4" s="1"/>
  <c r="AS115" i="4"/>
  <c r="AT115" i="4" s="1"/>
  <c r="AX115" i="4" a="1"/>
  <c r="AX115" i="4" s="1"/>
  <c r="AY115" i="4" a="1"/>
  <c r="AY115" i="4" s="1"/>
  <c r="AZ115" i="4" a="1"/>
  <c r="AZ115" i="4" s="1"/>
  <c r="BA115" i="4" a="1"/>
  <c r="BA115" i="4" s="1"/>
  <c r="BB115" i="4" a="1"/>
  <c r="BB115" i="4" s="1"/>
  <c r="BC115" i="4" a="1"/>
  <c r="BC115" i="4" s="1"/>
  <c r="BD115" i="4" a="1"/>
  <c r="BD115" i="4" s="1"/>
  <c r="BE115" i="4" a="1"/>
  <c r="BE115" i="4" s="1"/>
  <c r="AO116" i="4"/>
  <c r="AP116" i="4" s="1"/>
  <c r="AQ116" i="4"/>
  <c r="AR116" i="4" s="1"/>
  <c r="AS116" i="4"/>
  <c r="AT116" i="4" s="1"/>
  <c r="AX116" i="4" a="1"/>
  <c r="AX116" i="4" s="1"/>
  <c r="AY116" i="4" a="1"/>
  <c r="AY116" i="4" s="1"/>
  <c r="AZ116" i="4" a="1"/>
  <c r="AZ116" i="4" s="1"/>
  <c r="BA116" i="4" a="1"/>
  <c r="BA116" i="4" s="1"/>
  <c r="BB116" i="4" a="1"/>
  <c r="BB116" i="4" s="1"/>
  <c r="BC116" i="4" a="1"/>
  <c r="BC116" i="4" s="1"/>
  <c r="BD116" i="4" a="1"/>
  <c r="BD116" i="4" s="1"/>
  <c r="BE116" i="4" a="1"/>
  <c r="BE116" i="4" s="1"/>
  <c r="AO117" i="4"/>
  <c r="AP117" i="4" s="1"/>
  <c r="AQ117" i="4"/>
  <c r="AR117" i="4" s="1"/>
  <c r="AS117" i="4"/>
  <c r="AT117" i="4" s="1"/>
  <c r="AX117" i="4" a="1"/>
  <c r="AX117" i="4" s="1"/>
  <c r="AY117" i="4" a="1"/>
  <c r="AY117" i="4" s="1"/>
  <c r="AZ117" i="4" a="1"/>
  <c r="AZ117" i="4" s="1"/>
  <c r="BA117" i="4" a="1"/>
  <c r="BA117" i="4" s="1"/>
  <c r="BB117" i="4" a="1"/>
  <c r="BB117" i="4" s="1"/>
  <c r="BC117" i="4" a="1"/>
  <c r="BC117" i="4" s="1"/>
  <c r="BD117" i="4" a="1"/>
  <c r="BD117" i="4" s="1"/>
  <c r="BE117" i="4" a="1"/>
  <c r="BE117" i="4" s="1"/>
  <c r="AO118" i="4"/>
  <c r="AP118" i="4" s="1"/>
  <c r="AQ118" i="4"/>
  <c r="AR118" i="4" s="1"/>
  <c r="AS118" i="4"/>
  <c r="AT118" i="4" s="1"/>
  <c r="AX118" i="4" a="1"/>
  <c r="AX118" i="4" s="1"/>
  <c r="AY118" i="4" a="1"/>
  <c r="AY118" i="4" s="1"/>
  <c r="AZ118" i="4" a="1"/>
  <c r="AZ118" i="4" s="1"/>
  <c r="BA118" i="4" a="1"/>
  <c r="BA118" i="4" s="1"/>
  <c r="BB118" i="4" a="1"/>
  <c r="BB118" i="4" s="1"/>
  <c r="BC118" i="4" a="1"/>
  <c r="BC118" i="4" s="1"/>
  <c r="BD118" i="4" a="1"/>
  <c r="BD118" i="4" s="1"/>
  <c r="BE118" i="4" a="1"/>
  <c r="BE118" i="4" s="1"/>
  <c r="AO119" i="4"/>
  <c r="AP119" i="4" s="1"/>
  <c r="AQ119" i="4"/>
  <c r="AR119" i="4" s="1"/>
  <c r="AS119" i="4"/>
  <c r="AT119" i="4" s="1"/>
  <c r="AX119" i="4" a="1"/>
  <c r="AX119" i="4" s="1"/>
  <c r="AY119" i="4" a="1"/>
  <c r="AY119" i="4" s="1"/>
  <c r="AZ119" i="4" a="1"/>
  <c r="AZ119" i="4" s="1"/>
  <c r="BA119" i="4" a="1"/>
  <c r="BA119" i="4" s="1"/>
  <c r="BB119" i="4" a="1"/>
  <c r="BB119" i="4" s="1"/>
  <c r="BC119" i="4" a="1"/>
  <c r="BC119" i="4" s="1"/>
  <c r="BD119" i="4" a="1"/>
  <c r="BD119" i="4" s="1"/>
  <c r="BE119" i="4" a="1"/>
  <c r="BE119" i="4" s="1"/>
  <c r="AO120" i="4"/>
  <c r="AP120" i="4" s="1"/>
  <c r="AQ120" i="4"/>
  <c r="AR120" i="4" s="1"/>
  <c r="AS120" i="4"/>
  <c r="AT120" i="4" s="1"/>
  <c r="AX120" i="4" a="1"/>
  <c r="AX120" i="4" s="1"/>
  <c r="AY120" i="4" a="1"/>
  <c r="AY120" i="4" s="1"/>
  <c r="AZ120" i="4" a="1"/>
  <c r="AZ120" i="4" s="1"/>
  <c r="BA120" i="4" a="1"/>
  <c r="BA120" i="4" s="1"/>
  <c r="BB120" i="4" a="1"/>
  <c r="BB120" i="4" s="1"/>
  <c r="BC120" i="4" a="1"/>
  <c r="BC120" i="4" s="1"/>
  <c r="BD120" i="4" a="1"/>
  <c r="BD120" i="4" s="1"/>
  <c r="BE120" i="4" a="1"/>
  <c r="BE120" i="4" s="1"/>
  <c r="AO121" i="4"/>
  <c r="AP121" i="4" s="1"/>
  <c r="AQ121" i="4"/>
  <c r="AR121" i="4" s="1"/>
  <c r="AS121" i="4"/>
  <c r="AT121" i="4" s="1"/>
  <c r="AX121" i="4" a="1"/>
  <c r="AX121" i="4" s="1"/>
  <c r="AY121" i="4" a="1"/>
  <c r="AY121" i="4" s="1"/>
  <c r="AZ121" i="4" a="1"/>
  <c r="AZ121" i="4"/>
  <c r="BA121" i="4" a="1"/>
  <c r="BA121" i="4" s="1"/>
  <c r="BB121" i="4" a="1"/>
  <c r="BB121" i="4" s="1"/>
  <c r="BC121" i="4" a="1"/>
  <c r="BC121" i="4" s="1"/>
  <c r="BD121" i="4" a="1"/>
  <c r="BD121" i="4" s="1"/>
  <c r="BE121" i="4" a="1"/>
  <c r="BE121" i="4" s="1"/>
  <c r="AO122" i="4"/>
  <c r="AP122" i="4" s="1"/>
  <c r="AQ122" i="4"/>
  <c r="AR122" i="4" s="1"/>
  <c r="AS122" i="4"/>
  <c r="AT122" i="4" s="1"/>
  <c r="AX122" i="4" a="1"/>
  <c r="AX122" i="4" s="1"/>
  <c r="AY122" i="4" a="1"/>
  <c r="AY122" i="4" s="1"/>
  <c r="AZ122" i="4" a="1"/>
  <c r="AZ122" i="4" s="1"/>
  <c r="BA122" i="4" a="1"/>
  <c r="BA122" i="4" s="1"/>
  <c r="BB122" i="4" a="1"/>
  <c r="BB122" i="4" s="1"/>
  <c r="BC122" i="4" a="1"/>
  <c r="BC122" i="4" s="1"/>
  <c r="BD122" i="4" a="1"/>
  <c r="BD122" i="4" s="1"/>
  <c r="BE122" i="4" a="1"/>
  <c r="BE122" i="4" s="1"/>
  <c r="AO123" i="4"/>
  <c r="AP123" i="4" s="1"/>
  <c r="AQ123" i="4"/>
  <c r="AR123" i="4" s="1"/>
  <c r="AS123" i="4"/>
  <c r="AT123" i="4" s="1"/>
  <c r="AX123" i="4" a="1"/>
  <c r="AX123" i="4" s="1"/>
  <c r="AY123" i="4" a="1"/>
  <c r="AY123" i="4" s="1"/>
  <c r="AZ123" i="4" a="1"/>
  <c r="AZ123" i="4" s="1"/>
  <c r="BA123" i="4" a="1"/>
  <c r="BA123" i="4" s="1"/>
  <c r="BB123" i="4" a="1"/>
  <c r="BB123" i="4" s="1"/>
  <c r="BC123" i="4" a="1"/>
  <c r="BC123" i="4" s="1"/>
  <c r="BD123" i="4" a="1"/>
  <c r="BD123" i="4" s="1"/>
  <c r="BE123" i="4" a="1"/>
  <c r="BE123" i="4" s="1"/>
  <c r="AO124" i="4"/>
  <c r="AP124" i="4" s="1"/>
  <c r="AQ124" i="4"/>
  <c r="AR124" i="4" s="1"/>
  <c r="AS124" i="4"/>
  <c r="AT124" i="4" s="1"/>
  <c r="AX124" i="4" a="1"/>
  <c r="AX124" i="4" s="1"/>
  <c r="AY124" i="4" a="1"/>
  <c r="AY124" i="4" s="1"/>
  <c r="AZ124" i="4" a="1"/>
  <c r="AZ124" i="4" s="1"/>
  <c r="BA124" i="4" a="1"/>
  <c r="BA124" i="4" s="1"/>
  <c r="BB124" i="4" a="1"/>
  <c r="BB124" i="4" s="1"/>
  <c r="BC124" i="4" a="1"/>
  <c r="BC124" i="4" s="1"/>
  <c r="BD124" i="4" a="1"/>
  <c r="BD124" i="4" s="1"/>
  <c r="BE124" i="4" a="1"/>
  <c r="BE124" i="4" s="1"/>
  <c r="AO125" i="4"/>
  <c r="AP125" i="4" s="1"/>
  <c r="AQ125" i="4"/>
  <c r="AR125" i="4" s="1"/>
  <c r="AS125" i="4"/>
  <c r="AT125" i="4" s="1"/>
  <c r="AX125" i="4" a="1"/>
  <c r="AX125" i="4" s="1"/>
  <c r="AY125" i="4" a="1"/>
  <c r="AY125" i="4" s="1"/>
  <c r="AZ125" i="4" a="1"/>
  <c r="AZ125" i="4" s="1"/>
  <c r="BA125" i="4" a="1"/>
  <c r="BA125" i="4" s="1"/>
  <c r="BB125" i="4" a="1"/>
  <c r="BB125" i="4" s="1"/>
  <c r="BC125" i="4" a="1"/>
  <c r="BC125" i="4" s="1"/>
  <c r="BD125" i="4" a="1"/>
  <c r="BD125" i="4" s="1"/>
  <c r="BE125" i="4" a="1"/>
  <c r="BE125" i="4" s="1"/>
  <c r="AO126" i="4"/>
  <c r="AP126" i="4" s="1"/>
  <c r="AQ126" i="4"/>
  <c r="AR126" i="4" s="1"/>
  <c r="AS126" i="4"/>
  <c r="AT126" i="4" s="1"/>
  <c r="AX126" i="4" a="1"/>
  <c r="AX126" i="4" s="1"/>
  <c r="AY126" i="4" a="1"/>
  <c r="AY126" i="4" s="1"/>
  <c r="AZ126" i="4" a="1"/>
  <c r="AZ126" i="4" s="1"/>
  <c r="BA126" i="4" a="1"/>
  <c r="BA126" i="4" s="1"/>
  <c r="BB126" i="4" a="1"/>
  <c r="BB126" i="4" s="1"/>
  <c r="BC126" i="4" a="1"/>
  <c r="BC126" i="4" s="1"/>
  <c r="BD126" i="4" a="1"/>
  <c r="BD126" i="4"/>
  <c r="BE126" i="4" a="1"/>
  <c r="BE126" i="4" s="1"/>
  <c r="AO127" i="4"/>
  <c r="AP127" i="4" s="1"/>
  <c r="AQ127" i="4"/>
  <c r="AR127" i="4" s="1"/>
  <c r="AS127" i="4"/>
  <c r="AT127" i="4" s="1"/>
  <c r="AX127" i="4" a="1"/>
  <c r="AX127" i="4" s="1"/>
  <c r="AY127" i="4" a="1"/>
  <c r="AY127" i="4" s="1"/>
  <c r="AZ127" i="4" a="1"/>
  <c r="AZ127" i="4" s="1"/>
  <c r="BA127" i="4" a="1"/>
  <c r="BA127" i="4" s="1"/>
  <c r="BB127" i="4" a="1"/>
  <c r="BB127" i="4" s="1"/>
  <c r="BC127" i="4" a="1"/>
  <c r="BC127" i="4" s="1"/>
  <c r="BD127" i="4" a="1"/>
  <c r="BD127" i="4" s="1"/>
  <c r="BE127" i="4" a="1"/>
  <c r="BE127" i="4" s="1"/>
  <c r="AO128" i="4"/>
  <c r="AP128" i="4" s="1"/>
  <c r="AQ128" i="4"/>
  <c r="AR128" i="4" s="1"/>
  <c r="AS128" i="4"/>
  <c r="AT128" i="4" s="1"/>
  <c r="AX128" i="4" a="1"/>
  <c r="AX128" i="4" s="1"/>
  <c r="AY128" i="4" a="1"/>
  <c r="AY128" i="4" s="1"/>
  <c r="AZ128" i="4" a="1"/>
  <c r="AZ128" i="4" s="1"/>
  <c r="BA128" i="4" a="1"/>
  <c r="BA128" i="4" s="1"/>
  <c r="BB128" i="4" a="1"/>
  <c r="BB128" i="4" s="1"/>
  <c r="BC128" i="4" a="1"/>
  <c r="BC128" i="4" s="1"/>
  <c r="BD128" i="4" a="1"/>
  <c r="BD128" i="4" s="1"/>
  <c r="BE128" i="4" a="1"/>
  <c r="BE128" i="4" s="1"/>
  <c r="AO129" i="4"/>
  <c r="AP129" i="4" s="1"/>
  <c r="AQ129" i="4"/>
  <c r="AR129" i="4" s="1"/>
  <c r="AS129" i="4"/>
  <c r="AT129" i="4" s="1"/>
  <c r="AX129" i="4" a="1"/>
  <c r="AX129" i="4" s="1"/>
  <c r="AY129" i="4" a="1"/>
  <c r="AY129" i="4" s="1"/>
  <c r="AZ129" i="4" a="1"/>
  <c r="AZ129" i="4" s="1"/>
  <c r="BA129" i="4" a="1"/>
  <c r="BA129" i="4" s="1"/>
  <c r="BB129" i="4" a="1"/>
  <c r="BB129" i="4" s="1"/>
  <c r="BC129" i="4" a="1"/>
  <c r="BC129" i="4" s="1"/>
  <c r="BD129" i="4" a="1"/>
  <c r="BD129" i="4" s="1"/>
  <c r="BE129" i="4" a="1"/>
  <c r="BE129" i="4" s="1"/>
  <c r="AO130" i="4"/>
  <c r="AP130" i="4" s="1"/>
  <c r="AQ130" i="4"/>
  <c r="AR130" i="4" s="1"/>
  <c r="AS130" i="4"/>
  <c r="AT130" i="4" s="1"/>
  <c r="AX130" i="4" a="1"/>
  <c r="AX130" i="4" s="1"/>
  <c r="AY130" i="4" a="1"/>
  <c r="AY130" i="4" s="1"/>
  <c r="AZ130" i="4" a="1"/>
  <c r="AZ130" i="4" s="1"/>
  <c r="BA130" i="4" a="1"/>
  <c r="BA130" i="4" s="1"/>
  <c r="BB130" i="4" a="1"/>
  <c r="BB130" i="4" s="1"/>
  <c r="BC130" i="4" a="1"/>
  <c r="BC130" i="4" s="1"/>
  <c r="BD130" i="4" a="1"/>
  <c r="BD130" i="4" s="1"/>
  <c r="BE130" i="4" a="1"/>
  <c r="BE130" i="4" s="1"/>
  <c r="AO131" i="4"/>
  <c r="AP131" i="4" s="1"/>
  <c r="AQ131" i="4"/>
  <c r="AR131" i="4" s="1"/>
  <c r="AS131" i="4"/>
  <c r="AT131" i="4" s="1"/>
  <c r="AX131" i="4" a="1"/>
  <c r="AX131" i="4" s="1"/>
  <c r="AY131" i="4" a="1"/>
  <c r="AY131" i="4" s="1"/>
  <c r="AZ131" i="4" a="1"/>
  <c r="AZ131" i="4" s="1"/>
  <c r="BA131" i="4" a="1"/>
  <c r="BA131" i="4" s="1"/>
  <c r="BB131" i="4" a="1"/>
  <c r="BB131" i="4" s="1"/>
  <c r="BC131" i="4" a="1"/>
  <c r="BC131" i="4" s="1"/>
  <c r="BD131" i="4" a="1"/>
  <c r="BD131" i="4" s="1"/>
  <c r="BE131" i="4" a="1"/>
  <c r="BE131" i="4" s="1"/>
  <c r="AO132" i="4"/>
  <c r="AP132" i="4" s="1"/>
  <c r="AQ132" i="4"/>
  <c r="AR132" i="4" s="1"/>
  <c r="AS132" i="4"/>
  <c r="AT132" i="4" s="1"/>
  <c r="AX132" i="4" a="1"/>
  <c r="AX132" i="4" s="1"/>
  <c r="AY132" i="4" a="1"/>
  <c r="AY132" i="4" s="1"/>
  <c r="AZ132" i="4" a="1"/>
  <c r="AZ132" i="4" s="1"/>
  <c r="BA132" i="4" a="1"/>
  <c r="BA132" i="4" s="1"/>
  <c r="BB132" i="4" a="1"/>
  <c r="BB132" i="4" s="1"/>
  <c r="BC132" i="4" a="1"/>
  <c r="BC132" i="4" s="1"/>
  <c r="BD132" i="4" a="1"/>
  <c r="BD132" i="4" s="1"/>
  <c r="BE132" i="4" a="1"/>
  <c r="BE132" i="4" s="1"/>
  <c r="AO133" i="4"/>
  <c r="AP133" i="4" s="1"/>
  <c r="AQ133" i="4"/>
  <c r="AR133" i="4" s="1"/>
  <c r="AS133" i="4"/>
  <c r="AT133" i="4" s="1"/>
  <c r="AX133" i="4" a="1"/>
  <c r="AX133" i="4" s="1"/>
  <c r="AY133" i="4" a="1"/>
  <c r="AY133" i="4" s="1"/>
  <c r="AZ133" i="4" a="1"/>
  <c r="AZ133" i="4" s="1"/>
  <c r="BA133" i="4" a="1"/>
  <c r="BA133" i="4" s="1"/>
  <c r="BB133" i="4" a="1"/>
  <c r="BB133" i="4" s="1"/>
  <c r="BC133" i="4" a="1"/>
  <c r="BC133" i="4" s="1"/>
  <c r="BD133" i="4" a="1"/>
  <c r="BD133" i="4" s="1"/>
  <c r="BE133" i="4" a="1"/>
  <c r="BE133" i="4" s="1"/>
  <c r="AO134" i="4"/>
  <c r="AP134" i="4" s="1"/>
  <c r="AQ134" i="4"/>
  <c r="AR134" i="4" s="1"/>
  <c r="AS134" i="4"/>
  <c r="AT134" i="4" s="1"/>
  <c r="AX134" i="4" a="1"/>
  <c r="AX134" i="4" s="1"/>
  <c r="AY134" i="4" a="1"/>
  <c r="AY134" i="4" s="1"/>
  <c r="AZ134" i="4" a="1"/>
  <c r="AZ134" i="4" s="1"/>
  <c r="BA134" i="4" a="1"/>
  <c r="BA134" i="4" s="1"/>
  <c r="BB134" i="4" a="1"/>
  <c r="BB134" i="4" s="1"/>
  <c r="BC134" i="4" a="1"/>
  <c r="BC134" i="4" s="1"/>
  <c r="BD134" i="4" a="1"/>
  <c r="BD134" i="4" s="1"/>
  <c r="BE134" i="4" a="1"/>
  <c r="BE134" i="4" s="1"/>
  <c r="AO135" i="4"/>
  <c r="AP135" i="4" s="1"/>
  <c r="AQ135" i="4"/>
  <c r="AR135" i="4" s="1"/>
  <c r="AS135" i="4"/>
  <c r="AT135" i="4" s="1"/>
  <c r="AX135" i="4" a="1"/>
  <c r="AX135" i="4" s="1"/>
  <c r="AY135" i="4" a="1"/>
  <c r="AY135" i="4" s="1"/>
  <c r="AZ135" i="4" a="1"/>
  <c r="AZ135" i="4" s="1"/>
  <c r="BA135" i="4" a="1"/>
  <c r="BA135" i="4" s="1"/>
  <c r="BB135" i="4" a="1"/>
  <c r="BB135" i="4" s="1"/>
  <c r="BC135" i="4" a="1"/>
  <c r="BC135" i="4" s="1"/>
  <c r="BD135" i="4" a="1"/>
  <c r="BD135" i="4" s="1"/>
  <c r="BE135" i="4" a="1"/>
  <c r="BE135" i="4" s="1"/>
  <c r="AO136" i="4"/>
  <c r="AP136" i="4" s="1"/>
  <c r="AQ136" i="4"/>
  <c r="AR136" i="4" s="1"/>
  <c r="AS136" i="4"/>
  <c r="AT136" i="4" s="1"/>
  <c r="AX136" i="4" a="1"/>
  <c r="AX136" i="4" s="1"/>
  <c r="AY136" i="4" a="1"/>
  <c r="AY136" i="4" s="1"/>
  <c r="AZ136" i="4" a="1"/>
  <c r="AZ136" i="4" s="1"/>
  <c r="BA136" i="4" a="1"/>
  <c r="BA136" i="4" s="1"/>
  <c r="BB136" i="4" a="1"/>
  <c r="BB136" i="4" s="1"/>
  <c r="BC136" i="4" a="1"/>
  <c r="BC136" i="4" s="1"/>
  <c r="BD136" i="4" a="1"/>
  <c r="BD136" i="4" s="1"/>
  <c r="BE136" i="4" a="1"/>
  <c r="BE136" i="4" s="1"/>
  <c r="AO137" i="4"/>
  <c r="AP137" i="4" s="1"/>
  <c r="AQ137" i="4"/>
  <c r="AR137" i="4" s="1"/>
  <c r="AS137" i="4"/>
  <c r="AT137" i="4" s="1"/>
  <c r="AX137" i="4" a="1"/>
  <c r="AX137" i="4" s="1"/>
  <c r="AY137" i="4" a="1"/>
  <c r="AY137" i="4" s="1"/>
  <c r="AZ137" i="4" a="1"/>
  <c r="AZ137" i="4" s="1"/>
  <c r="BA137" i="4" a="1"/>
  <c r="BA137" i="4" s="1"/>
  <c r="BB137" i="4" a="1"/>
  <c r="BB137" i="4" s="1"/>
  <c r="BC137" i="4" a="1"/>
  <c r="BC137" i="4" s="1"/>
  <c r="BD137" i="4" a="1"/>
  <c r="BD137" i="4" s="1"/>
  <c r="BE137" i="4" a="1"/>
  <c r="BE137" i="4" s="1"/>
  <c r="AO138" i="4"/>
  <c r="AP138" i="4" s="1"/>
  <c r="AQ138" i="4"/>
  <c r="AR138" i="4" s="1"/>
  <c r="AS138" i="4"/>
  <c r="AT138" i="4" s="1"/>
  <c r="AX138" i="4" a="1"/>
  <c r="AX138" i="4" s="1"/>
  <c r="AY138" i="4" a="1"/>
  <c r="AY138" i="4" s="1"/>
  <c r="AZ138" i="4" a="1"/>
  <c r="AZ138" i="4" s="1"/>
  <c r="BA138" i="4" a="1"/>
  <c r="BA138" i="4" s="1"/>
  <c r="BB138" i="4" a="1"/>
  <c r="BB138" i="4" s="1"/>
  <c r="BC138" i="4" a="1"/>
  <c r="BC138" i="4" s="1"/>
  <c r="BD138" i="4" a="1"/>
  <c r="BD138" i="4" s="1"/>
  <c r="BE138" i="4" a="1"/>
  <c r="BE138" i="4" s="1"/>
  <c r="AO139" i="4"/>
  <c r="AP139" i="4" s="1"/>
  <c r="AQ139" i="4"/>
  <c r="AR139" i="4" s="1"/>
  <c r="AS139" i="4"/>
  <c r="AT139" i="4" s="1"/>
  <c r="AX139" i="4" a="1"/>
  <c r="AX139" i="4" s="1"/>
  <c r="AY139" i="4" a="1"/>
  <c r="AY139" i="4" s="1"/>
  <c r="AZ139" i="4" a="1"/>
  <c r="AZ139" i="4" s="1"/>
  <c r="BA139" i="4" a="1"/>
  <c r="BA139" i="4" s="1"/>
  <c r="BB139" i="4" a="1"/>
  <c r="BB139" i="4" s="1"/>
  <c r="BC139" i="4" a="1"/>
  <c r="BC139" i="4" s="1"/>
  <c r="BD139" i="4" a="1"/>
  <c r="BD139" i="4" s="1"/>
  <c r="BE139" i="4" a="1"/>
  <c r="BE139" i="4" s="1"/>
  <c r="AO140" i="4"/>
  <c r="AP140" i="4" s="1"/>
  <c r="AQ140" i="4"/>
  <c r="AR140" i="4" s="1"/>
  <c r="AS140" i="4"/>
  <c r="AT140" i="4" s="1"/>
  <c r="AX140" i="4" a="1"/>
  <c r="AX140" i="4" s="1"/>
  <c r="AY140" i="4" a="1"/>
  <c r="AY140" i="4" s="1"/>
  <c r="AZ140" i="4" a="1"/>
  <c r="AZ140" i="4" s="1"/>
  <c r="BA140" i="4" a="1"/>
  <c r="BA140" i="4" s="1"/>
  <c r="BB140" i="4" a="1"/>
  <c r="BB140" i="4" s="1"/>
  <c r="BC140" i="4" a="1"/>
  <c r="BC140" i="4" s="1"/>
  <c r="BD140" i="4" a="1"/>
  <c r="BD140" i="4" s="1"/>
  <c r="BE140" i="4" a="1"/>
  <c r="BE140" i="4" s="1"/>
  <c r="AO141" i="4"/>
  <c r="AP141" i="4" s="1"/>
  <c r="AQ141" i="4"/>
  <c r="AR141" i="4"/>
  <c r="AS141" i="4"/>
  <c r="AT141" i="4" s="1"/>
  <c r="AX141" i="4" a="1"/>
  <c r="AX141" i="4" s="1"/>
  <c r="AY141" i="4" a="1"/>
  <c r="AY141" i="4" s="1"/>
  <c r="AZ141" i="4" a="1"/>
  <c r="AZ141" i="4" s="1"/>
  <c r="BA141" i="4" a="1"/>
  <c r="BA141" i="4" s="1"/>
  <c r="BB141" i="4" a="1"/>
  <c r="BB141" i="4" s="1"/>
  <c r="BC141" i="4" a="1"/>
  <c r="BC141" i="4" s="1"/>
  <c r="BD141" i="4" a="1"/>
  <c r="BD141" i="4" s="1"/>
  <c r="BE141" i="4" a="1"/>
  <c r="BE141" i="4" s="1"/>
  <c r="AO142" i="4"/>
  <c r="AP142" i="4" s="1"/>
  <c r="AQ142" i="4"/>
  <c r="AR142" i="4" s="1"/>
  <c r="AS142" i="4"/>
  <c r="AT142" i="4" s="1"/>
  <c r="AX142" i="4" a="1"/>
  <c r="AX142" i="4" s="1"/>
  <c r="AY142" i="4" a="1"/>
  <c r="AY142" i="4" s="1"/>
  <c r="AZ142" i="4" a="1"/>
  <c r="AZ142" i="4" s="1"/>
  <c r="BA142" i="4" a="1"/>
  <c r="BA142" i="4" s="1"/>
  <c r="BB142" i="4" a="1"/>
  <c r="BB142" i="4" s="1"/>
  <c r="BC142" i="4" a="1"/>
  <c r="BC142" i="4" s="1"/>
  <c r="BD142" i="4" a="1"/>
  <c r="BD142" i="4" s="1"/>
  <c r="BE142" i="4" a="1"/>
  <c r="BE142" i="4" s="1"/>
  <c r="AO143" i="4"/>
  <c r="AP143" i="4" s="1"/>
  <c r="AQ143" i="4"/>
  <c r="AR143" i="4" s="1"/>
  <c r="AS143" i="4"/>
  <c r="AT143" i="4" s="1"/>
  <c r="AX143" i="4" a="1"/>
  <c r="AX143" i="4" s="1"/>
  <c r="AY143" i="4" a="1"/>
  <c r="AY143" i="4" s="1"/>
  <c r="AZ143" i="4" a="1"/>
  <c r="AZ143" i="4" s="1"/>
  <c r="BA143" i="4" a="1"/>
  <c r="BA143" i="4" s="1"/>
  <c r="BB143" i="4" a="1"/>
  <c r="BB143" i="4" s="1"/>
  <c r="BC143" i="4" a="1"/>
  <c r="BC143" i="4" s="1"/>
  <c r="BD143" i="4" a="1"/>
  <c r="BD143" i="4" s="1"/>
  <c r="BE143" i="4" a="1"/>
  <c r="BE143" i="4" s="1"/>
  <c r="AO17" i="4"/>
  <c r="AP17" i="4" s="1"/>
  <c r="AO18" i="4"/>
  <c r="AP18" i="4" s="1"/>
  <c r="AO144" i="4"/>
  <c r="AP144" i="4" s="1"/>
  <c r="AO145" i="4"/>
  <c r="AP145" i="4" s="1"/>
  <c r="AO146" i="4"/>
  <c r="AP146" i="4" s="1"/>
  <c r="AO147" i="4"/>
  <c r="AP147" i="4" s="1"/>
  <c r="AO148" i="4"/>
  <c r="AP148" i="4" s="1"/>
  <c r="AO149" i="4"/>
  <c r="AP149" i="4" s="1"/>
  <c r="AO150" i="4"/>
  <c r="AP150" i="4" s="1"/>
  <c r="AO151" i="4"/>
  <c r="AP151" i="4" s="1"/>
  <c r="AO152" i="4"/>
  <c r="AP152" i="4" s="1"/>
  <c r="AO153" i="4"/>
  <c r="AP153" i="4" s="1"/>
  <c r="AO154" i="4"/>
  <c r="AP154" i="4" s="1"/>
  <c r="AO155" i="4"/>
  <c r="AP155" i="4" s="1"/>
  <c r="AO156" i="4"/>
  <c r="AP156" i="4" s="1"/>
  <c r="AO157" i="4"/>
  <c r="AP157" i="4" s="1"/>
  <c r="AO158" i="4"/>
  <c r="AP158" i="4" s="1"/>
  <c r="AO159" i="4"/>
  <c r="AP159" i="4" s="1"/>
  <c r="AO160" i="4"/>
  <c r="AP160" i="4" s="1"/>
  <c r="AO161" i="4"/>
  <c r="AP161" i="4" s="1"/>
  <c r="AO162" i="4"/>
  <c r="AP162" i="4" s="1"/>
  <c r="AO163" i="4"/>
  <c r="AP163" i="4" s="1"/>
  <c r="AO164" i="4"/>
  <c r="AP164" i="4" s="1"/>
  <c r="AO165" i="4"/>
  <c r="AP165" i="4" s="1"/>
  <c r="AO166" i="4"/>
  <c r="AP166" i="4" s="1"/>
  <c r="AO167" i="4"/>
  <c r="AP167" i="4" s="1"/>
  <c r="AO168" i="4"/>
  <c r="AP168" i="4" s="1"/>
  <c r="AO169" i="4"/>
  <c r="AP169" i="4" s="1"/>
  <c r="AO170" i="4"/>
  <c r="AP170" i="4" s="1"/>
  <c r="AO171" i="4"/>
  <c r="AP171" i="4" s="1"/>
  <c r="AO172" i="4"/>
  <c r="AP172" i="4" s="1"/>
  <c r="AO173" i="4"/>
  <c r="AP173" i="4" s="1"/>
  <c r="AO174" i="4"/>
  <c r="AP174" i="4" s="1"/>
  <c r="AO175" i="4"/>
  <c r="AP175" i="4" s="1"/>
  <c r="AO176" i="4"/>
  <c r="AP176" i="4" s="1"/>
  <c r="AO177" i="4"/>
  <c r="AP177" i="4" s="1"/>
  <c r="AO178" i="4"/>
  <c r="AP178" i="4" s="1"/>
  <c r="AO179" i="4"/>
  <c r="AP179" i="4" s="1"/>
  <c r="AO180" i="4"/>
  <c r="AP180" i="4" s="1"/>
  <c r="AO181" i="4"/>
  <c r="AP181" i="4" s="1"/>
  <c r="AO182" i="4"/>
  <c r="AP182" i="4" s="1"/>
  <c r="AO183" i="4"/>
  <c r="AP183" i="4" s="1"/>
  <c r="AO184" i="4"/>
  <c r="AP184" i="4" s="1"/>
  <c r="AO185" i="4"/>
  <c r="AP185" i="4" s="1"/>
  <c r="AO186" i="4"/>
  <c r="AP186" i="4" s="1"/>
  <c r="AO187" i="4"/>
  <c r="AP187" i="4" s="1"/>
  <c r="AO188" i="4"/>
  <c r="AP188" i="4" s="1"/>
  <c r="AO189" i="4"/>
  <c r="AP189" i="4" s="1"/>
  <c r="AO190" i="4"/>
  <c r="AP190" i="4" s="1"/>
  <c r="AO191" i="4"/>
  <c r="AP191" i="4" s="1"/>
  <c r="AO192" i="4"/>
  <c r="AP192" i="4" s="1"/>
  <c r="AO193" i="4"/>
  <c r="AP193" i="4" s="1"/>
  <c r="AO194" i="4"/>
  <c r="AP194" i="4" s="1"/>
  <c r="AO195" i="4"/>
  <c r="AP195" i="4" s="1"/>
  <c r="AO196" i="4"/>
  <c r="AP196" i="4" s="1"/>
  <c r="AO197" i="4"/>
  <c r="AP197" i="4" s="1"/>
  <c r="AO198" i="4"/>
  <c r="AP198" i="4" s="1"/>
  <c r="AO199" i="4"/>
  <c r="AP199" i="4" s="1"/>
  <c r="AO200" i="4"/>
  <c r="AP200" i="4" s="1"/>
  <c r="AO201" i="4"/>
  <c r="AP201" i="4" s="1"/>
  <c r="AO202" i="4"/>
  <c r="AP202" i="4" s="1"/>
  <c r="AO203" i="4"/>
  <c r="AP203" i="4" s="1"/>
  <c r="AO204" i="4"/>
  <c r="AP204" i="4" s="1"/>
  <c r="AO16" i="4"/>
  <c r="AP16" i="4" s="1"/>
  <c r="AP15" i="4"/>
  <c r="AQ15" i="4"/>
  <c r="AR15" i="4" s="1"/>
  <c r="AS15" i="4"/>
  <c r="AT15" i="4" s="1"/>
  <c r="AX15" i="4" a="1"/>
  <c r="AX15" i="4" s="1"/>
  <c r="AY15" i="4" a="1"/>
  <c r="AY15" i="4" s="1"/>
  <c r="AZ15" i="4" a="1"/>
  <c r="AZ15" i="4" s="1"/>
  <c r="BA15" i="4" a="1"/>
  <c r="BA15" i="4" s="1"/>
  <c r="BB15" i="4" a="1"/>
  <c r="BB15" i="4" s="1"/>
  <c r="BC15" i="4" a="1"/>
  <c r="BC15" i="4" s="1"/>
  <c r="BD15" i="4" a="1"/>
  <c r="BD15" i="4" s="1"/>
  <c r="BE15" i="4" a="1"/>
  <c r="BE15" i="4" s="1"/>
  <c r="AQ16" i="4"/>
  <c r="AR16" i="4" s="1"/>
  <c r="AS16" i="4"/>
  <c r="AT16" i="4" s="1"/>
  <c r="AX16" i="4" a="1"/>
  <c r="AX16" i="4" s="1"/>
  <c r="AY16" i="4" a="1"/>
  <c r="AY16" i="4" s="1"/>
  <c r="AZ16" i="4" a="1"/>
  <c r="AZ16" i="4" s="1"/>
  <c r="BA16" i="4" a="1"/>
  <c r="BA16" i="4" s="1"/>
  <c r="BB16" i="4" a="1"/>
  <c r="BB16" i="4" s="1"/>
  <c r="BC16" i="4" a="1"/>
  <c r="BC16" i="4" s="1"/>
  <c r="BD16" i="4" a="1"/>
  <c r="BD16" i="4" s="1"/>
  <c r="BE16" i="4" a="1"/>
  <c r="BE16" i="4" s="1"/>
  <c r="AQ17" i="4"/>
  <c r="AR17" i="4" s="1"/>
  <c r="AS17" i="4"/>
  <c r="AT17" i="4" s="1"/>
  <c r="AX17" i="4" a="1"/>
  <c r="AX17" i="4" s="1"/>
  <c r="AY17" i="4" a="1"/>
  <c r="AY17" i="4" s="1"/>
  <c r="AZ17" i="4" a="1"/>
  <c r="AZ17" i="4" s="1"/>
  <c r="BA17" i="4" a="1"/>
  <c r="BA17" i="4" s="1"/>
  <c r="BB17" i="4" a="1"/>
  <c r="BB17" i="4" s="1"/>
  <c r="BC17" i="4" a="1"/>
  <c r="BC17" i="4" s="1"/>
  <c r="BD17" i="4" a="1"/>
  <c r="BD17" i="4" s="1"/>
  <c r="BE17" i="4" a="1"/>
  <c r="BE17" i="4" s="1"/>
  <c r="AQ18" i="4"/>
  <c r="AR18" i="4" s="1"/>
  <c r="AS18" i="4"/>
  <c r="AT18" i="4" s="1"/>
  <c r="AX18" i="4" a="1"/>
  <c r="AX18" i="4" s="1"/>
  <c r="AY18" i="4" a="1"/>
  <c r="AY18" i="4" s="1"/>
  <c r="AZ18" i="4" a="1"/>
  <c r="AZ18" i="4" s="1"/>
  <c r="BA18" i="4" a="1"/>
  <c r="BA18" i="4" s="1"/>
  <c r="BB18" i="4" a="1"/>
  <c r="BB18" i="4" s="1"/>
  <c r="BC18" i="4" a="1"/>
  <c r="BC18" i="4" s="1"/>
  <c r="BD18" i="4" a="1"/>
  <c r="BD18" i="4" s="1"/>
  <c r="BE18" i="4" a="1"/>
  <c r="BE18" i="4" s="1"/>
  <c r="AQ144" i="4"/>
  <c r="AR144" i="4" s="1"/>
  <c r="AS144" i="4"/>
  <c r="AT144" i="4" s="1"/>
  <c r="AX144" i="4" a="1"/>
  <c r="AX144" i="4" s="1"/>
  <c r="AY144" i="4" a="1"/>
  <c r="AY144" i="4" s="1"/>
  <c r="AZ144" i="4" a="1"/>
  <c r="AZ144" i="4" s="1"/>
  <c r="BA144" i="4" a="1"/>
  <c r="BA144" i="4" s="1"/>
  <c r="BB144" i="4" a="1"/>
  <c r="BB144" i="4" s="1"/>
  <c r="BC144" i="4" a="1"/>
  <c r="BC144" i="4" s="1"/>
  <c r="BD144" i="4" a="1"/>
  <c r="BD144" i="4" s="1"/>
  <c r="BE144" i="4" a="1"/>
  <c r="BE144" i="4" s="1"/>
  <c r="AQ145" i="4"/>
  <c r="AR145" i="4" s="1"/>
  <c r="AS145" i="4"/>
  <c r="AT145" i="4" s="1"/>
  <c r="AX145" i="4" a="1"/>
  <c r="AX145" i="4" s="1"/>
  <c r="AY145" i="4" a="1"/>
  <c r="AY145" i="4" s="1"/>
  <c r="AZ145" i="4" a="1"/>
  <c r="AZ145" i="4" s="1"/>
  <c r="BA145" i="4" a="1"/>
  <c r="BA145" i="4" s="1"/>
  <c r="BB145" i="4" a="1"/>
  <c r="BB145" i="4" s="1"/>
  <c r="BC145" i="4" a="1"/>
  <c r="BC145" i="4" s="1"/>
  <c r="BD145" i="4" a="1"/>
  <c r="BD145" i="4" s="1"/>
  <c r="BE145" i="4" a="1"/>
  <c r="BE145" i="4" s="1"/>
  <c r="AQ146" i="4"/>
  <c r="AR146" i="4" s="1"/>
  <c r="AS146" i="4"/>
  <c r="AT146" i="4" s="1"/>
  <c r="AX146" i="4" a="1"/>
  <c r="AX146" i="4" s="1"/>
  <c r="AY146" i="4" a="1"/>
  <c r="AY146" i="4" s="1"/>
  <c r="AZ146" i="4" a="1"/>
  <c r="AZ146" i="4" s="1"/>
  <c r="BA146" i="4" a="1"/>
  <c r="BA146" i="4" s="1"/>
  <c r="BB146" i="4" a="1"/>
  <c r="BB146" i="4" s="1"/>
  <c r="BC146" i="4" a="1"/>
  <c r="BC146" i="4" s="1"/>
  <c r="BD146" i="4" a="1"/>
  <c r="BD146" i="4" s="1"/>
  <c r="BE146" i="4" a="1"/>
  <c r="BE146" i="4" s="1"/>
  <c r="AQ147" i="4"/>
  <c r="AR147" i="4" s="1"/>
  <c r="AS147" i="4"/>
  <c r="AT147" i="4" s="1"/>
  <c r="AX147" i="4" a="1"/>
  <c r="AX147" i="4" s="1"/>
  <c r="AY147" i="4" a="1"/>
  <c r="AY147" i="4" s="1"/>
  <c r="AZ147" i="4" a="1"/>
  <c r="AZ147" i="4" s="1"/>
  <c r="BA147" i="4" a="1"/>
  <c r="BA147" i="4" s="1"/>
  <c r="BB147" i="4" a="1"/>
  <c r="BB147" i="4" s="1"/>
  <c r="BC147" i="4" a="1"/>
  <c r="BC147" i="4" s="1"/>
  <c r="BD147" i="4" a="1"/>
  <c r="BD147" i="4" s="1"/>
  <c r="BE147" i="4" a="1"/>
  <c r="BE147" i="4" s="1"/>
  <c r="AQ148" i="4"/>
  <c r="AR148" i="4" s="1"/>
  <c r="AS148" i="4"/>
  <c r="AT148" i="4" s="1"/>
  <c r="AX148" i="4" a="1"/>
  <c r="AX148" i="4" s="1"/>
  <c r="AY148" i="4" a="1"/>
  <c r="AY148" i="4" s="1"/>
  <c r="AZ148" i="4" a="1"/>
  <c r="AZ148" i="4" s="1"/>
  <c r="BA148" i="4" a="1"/>
  <c r="BA148" i="4" s="1"/>
  <c r="BB148" i="4" a="1"/>
  <c r="BB148" i="4" s="1"/>
  <c r="BC148" i="4" a="1"/>
  <c r="BC148" i="4" s="1"/>
  <c r="BD148" i="4" a="1"/>
  <c r="BD148" i="4" s="1"/>
  <c r="BE148" i="4" a="1"/>
  <c r="BE148" i="4" s="1"/>
  <c r="AQ149" i="4"/>
  <c r="AR149" i="4" s="1"/>
  <c r="AS149" i="4"/>
  <c r="AT149" i="4" s="1"/>
  <c r="AX149" i="4" a="1"/>
  <c r="AX149" i="4" s="1"/>
  <c r="AY149" i="4" a="1"/>
  <c r="AY149" i="4" s="1"/>
  <c r="AZ149" i="4" a="1"/>
  <c r="AZ149" i="4" s="1"/>
  <c r="BA149" i="4" a="1"/>
  <c r="BA149" i="4" s="1"/>
  <c r="BB149" i="4" a="1"/>
  <c r="BB149" i="4" s="1"/>
  <c r="BC149" i="4" a="1"/>
  <c r="BC149" i="4" s="1"/>
  <c r="BD149" i="4" a="1"/>
  <c r="BD149" i="4" s="1"/>
  <c r="BE149" i="4" a="1"/>
  <c r="BE149" i="4" s="1"/>
  <c r="AQ150" i="4"/>
  <c r="AR150" i="4" s="1"/>
  <c r="AS150" i="4"/>
  <c r="AT150" i="4" s="1"/>
  <c r="AX150" i="4" a="1"/>
  <c r="AX150" i="4" s="1"/>
  <c r="AY150" i="4" a="1"/>
  <c r="AY150" i="4" s="1"/>
  <c r="AZ150" i="4" a="1"/>
  <c r="AZ150" i="4" s="1"/>
  <c r="BA150" i="4" a="1"/>
  <c r="BA150" i="4" s="1"/>
  <c r="BB150" i="4" a="1"/>
  <c r="BB150" i="4" s="1"/>
  <c r="BC150" i="4" a="1"/>
  <c r="BC150" i="4" s="1"/>
  <c r="BD150" i="4" a="1"/>
  <c r="BD150" i="4" s="1"/>
  <c r="BE150" i="4" a="1"/>
  <c r="BE150" i="4" s="1"/>
  <c r="AQ151" i="4"/>
  <c r="AR151" i="4" s="1"/>
  <c r="AS151" i="4"/>
  <c r="AT151" i="4" s="1"/>
  <c r="AX151" i="4" a="1"/>
  <c r="AX151" i="4" s="1"/>
  <c r="AY151" i="4" a="1"/>
  <c r="AY151" i="4" s="1"/>
  <c r="AZ151" i="4" a="1"/>
  <c r="AZ151" i="4" s="1"/>
  <c r="BA151" i="4" a="1"/>
  <c r="BA151" i="4" s="1"/>
  <c r="BB151" i="4" a="1"/>
  <c r="BB151" i="4" s="1"/>
  <c r="BC151" i="4" a="1"/>
  <c r="BC151" i="4" s="1"/>
  <c r="BD151" i="4" a="1"/>
  <c r="BD151" i="4" s="1"/>
  <c r="BE151" i="4" a="1"/>
  <c r="BE151" i="4" s="1"/>
  <c r="AQ152" i="4"/>
  <c r="AR152" i="4" s="1"/>
  <c r="AS152" i="4"/>
  <c r="AT152" i="4" s="1"/>
  <c r="AX152" i="4" a="1"/>
  <c r="AX152" i="4" s="1"/>
  <c r="AY152" i="4" a="1"/>
  <c r="AY152" i="4" s="1"/>
  <c r="AZ152" i="4" a="1"/>
  <c r="AZ152" i="4" s="1"/>
  <c r="BA152" i="4" a="1"/>
  <c r="BA152" i="4" s="1"/>
  <c r="BB152" i="4" a="1"/>
  <c r="BB152" i="4" s="1"/>
  <c r="BC152" i="4" a="1"/>
  <c r="BC152" i="4" s="1"/>
  <c r="BD152" i="4" a="1"/>
  <c r="BD152" i="4" s="1"/>
  <c r="BE152" i="4" a="1"/>
  <c r="BE152" i="4" s="1"/>
  <c r="AQ153" i="4"/>
  <c r="AR153" i="4" s="1"/>
  <c r="AS153" i="4"/>
  <c r="AT153" i="4" s="1"/>
  <c r="AX153" i="4" a="1"/>
  <c r="AX153" i="4" s="1"/>
  <c r="AY153" i="4" a="1"/>
  <c r="AY153" i="4" s="1"/>
  <c r="AZ153" i="4" a="1"/>
  <c r="AZ153" i="4" s="1"/>
  <c r="BA153" i="4" a="1"/>
  <c r="BA153" i="4" s="1"/>
  <c r="BB153" i="4" a="1"/>
  <c r="BB153" i="4" s="1"/>
  <c r="BC153" i="4" a="1"/>
  <c r="BC153" i="4" s="1"/>
  <c r="BD153" i="4" a="1"/>
  <c r="BD153" i="4" s="1"/>
  <c r="BE153" i="4" a="1"/>
  <c r="BE153" i="4" s="1"/>
  <c r="AQ154" i="4"/>
  <c r="AR154" i="4" s="1"/>
  <c r="AS154" i="4"/>
  <c r="AT154" i="4" s="1"/>
  <c r="AX154" i="4" a="1"/>
  <c r="AX154" i="4" s="1"/>
  <c r="AY154" i="4" a="1"/>
  <c r="AY154" i="4" s="1"/>
  <c r="AZ154" i="4" a="1"/>
  <c r="AZ154" i="4" s="1"/>
  <c r="BA154" i="4" a="1"/>
  <c r="BA154" i="4" s="1"/>
  <c r="BB154" i="4" a="1"/>
  <c r="BB154" i="4" s="1"/>
  <c r="BC154" i="4" a="1"/>
  <c r="BC154" i="4" s="1"/>
  <c r="BD154" i="4" a="1"/>
  <c r="BD154" i="4" s="1"/>
  <c r="BE154" i="4" a="1"/>
  <c r="BE154" i="4" s="1"/>
  <c r="AQ155" i="4"/>
  <c r="AR155" i="4" s="1"/>
  <c r="AS155" i="4"/>
  <c r="AT155" i="4" s="1"/>
  <c r="AX155" i="4" a="1"/>
  <c r="AX155" i="4" s="1"/>
  <c r="AY155" i="4" a="1"/>
  <c r="AY155" i="4" s="1"/>
  <c r="AZ155" i="4" a="1"/>
  <c r="AZ155" i="4" s="1"/>
  <c r="BA155" i="4" a="1"/>
  <c r="BA155" i="4" s="1"/>
  <c r="BB155" i="4" a="1"/>
  <c r="BB155" i="4" s="1"/>
  <c r="BC155" i="4" a="1"/>
  <c r="BC155" i="4" s="1"/>
  <c r="BD155" i="4" a="1"/>
  <c r="BD155" i="4" s="1"/>
  <c r="BE155" i="4" a="1"/>
  <c r="BE155" i="4" s="1"/>
  <c r="AQ156" i="4"/>
  <c r="AR156" i="4" s="1"/>
  <c r="AS156" i="4"/>
  <c r="AT156" i="4" s="1"/>
  <c r="AX156" i="4" a="1"/>
  <c r="AX156" i="4" s="1"/>
  <c r="AY156" i="4" a="1"/>
  <c r="AY156" i="4" s="1"/>
  <c r="AZ156" i="4" a="1"/>
  <c r="AZ156" i="4" s="1"/>
  <c r="BA156" i="4" a="1"/>
  <c r="BA156" i="4" s="1"/>
  <c r="BB156" i="4" a="1"/>
  <c r="BB156" i="4" s="1"/>
  <c r="BC156" i="4" a="1"/>
  <c r="BC156" i="4" s="1"/>
  <c r="BD156" i="4" a="1"/>
  <c r="BD156" i="4" s="1"/>
  <c r="BE156" i="4" a="1"/>
  <c r="BE156" i="4" s="1"/>
  <c r="AQ157" i="4"/>
  <c r="AR157" i="4" s="1"/>
  <c r="AS157" i="4"/>
  <c r="AT157" i="4" s="1"/>
  <c r="AX157" i="4" a="1"/>
  <c r="AX157" i="4" s="1"/>
  <c r="AY157" i="4" a="1"/>
  <c r="AY157" i="4" s="1"/>
  <c r="AZ157" i="4" a="1"/>
  <c r="AZ157" i="4" s="1"/>
  <c r="BA157" i="4" a="1"/>
  <c r="BA157" i="4" s="1"/>
  <c r="BB157" i="4" a="1"/>
  <c r="BB157" i="4" s="1"/>
  <c r="BC157" i="4" a="1"/>
  <c r="BC157" i="4" s="1"/>
  <c r="BD157" i="4" a="1"/>
  <c r="BD157" i="4" s="1"/>
  <c r="BE157" i="4" a="1"/>
  <c r="BE157" i="4" s="1"/>
  <c r="AQ158" i="4"/>
  <c r="AR158" i="4" s="1"/>
  <c r="AS158" i="4"/>
  <c r="AT158" i="4" s="1"/>
  <c r="AX158" i="4" a="1"/>
  <c r="AX158" i="4" s="1"/>
  <c r="AY158" i="4" a="1"/>
  <c r="AY158" i="4" s="1"/>
  <c r="AZ158" i="4" a="1"/>
  <c r="AZ158" i="4" s="1"/>
  <c r="BA158" i="4" a="1"/>
  <c r="BA158" i="4" s="1"/>
  <c r="BB158" i="4" a="1"/>
  <c r="BB158" i="4" s="1"/>
  <c r="BC158" i="4" a="1"/>
  <c r="BC158" i="4" s="1"/>
  <c r="BD158" i="4" a="1"/>
  <c r="BD158" i="4" s="1"/>
  <c r="BE158" i="4" a="1"/>
  <c r="BE158" i="4" s="1"/>
  <c r="AQ159" i="4"/>
  <c r="AR159" i="4" s="1"/>
  <c r="AS159" i="4"/>
  <c r="AT159" i="4" s="1"/>
  <c r="AX159" i="4" a="1"/>
  <c r="AX159" i="4" s="1"/>
  <c r="AY159" i="4" a="1"/>
  <c r="AY159" i="4" s="1"/>
  <c r="AZ159" i="4" a="1"/>
  <c r="AZ159" i="4" s="1"/>
  <c r="BA159" i="4" a="1"/>
  <c r="BA159" i="4" s="1"/>
  <c r="BB159" i="4" a="1"/>
  <c r="BB159" i="4" s="1"/>
  <c r="BC159" i="4" a="1"/>
  <c r="BC159" i="4" s="1"/>
  <c r="BD159" i="4" a="1"/>
  <c r="BD159" i="4" s="1"/>
  <c r="BE159" i="4" a="1"/>
  <c r="BE159" i="4" s="1"/>
  <c r="AQ160" i="4"/>
  <c r="AR160" i="4" s="1"/>
  <c r="AS160" i="4"/>
  <c r="AT160" i="4" s="1"/>
  <c r="AX160" i="4" a="1"/>
  <c r="AX160" i="4" s="1"/>
  <c r="AY160" i="4" a="1"/>
  <c r="AY160" i="4" s="1"/>
  <c r="AZ160" i="4" a="1"/>
  <c r="AZ160" i="4" s="1"/>
  <c r="BA160" i="4" a="1"/>
  <c r="BA160" i="4" s="1"/>
  <c r="BB160" i="4" a="1"/>
  <c r="BB160" i="4" s="1"/>
  <c r="BC160" i="4" a="1"/>
  <c r="BC160" i="4" s="1"/>
  <c r="BD160" i="4" a="1"/>
  <c r="BD160" i="4" s="1"/>
  <c r="BE160" i="4" a="1"/>
  <c r="BE160" i="4" s="1"/>
  <c r="AQ161" i="4"/>
  <c r="AR161" i="4" s="1"/>
  <c r="AS161" i="4"/>
  <c r="AT161" i="4" s="1"/>
  <c r="AX161" i="4" a="1"/>
  <c r="AX161" i="4" s="1"/>
  <c r="AY161" i="4" a="1"/>
  <c r="AY161" i="4" s="1"/>
  <c r="AZ161" i="4" a="1"/>
  <c r="AZ161" i="4" s="1"/>
  <c r="BA161" i="4" a="1"/>
  <c r="BA161" i="4" s="1"/>
  <c r="BB161" i="4" a="1"/>
  <c r="BB161" i="4" s="1"/>
  <c r="BC161" i="4" a="1"/>
  <c r="BC161" i="4" s="1"/>
  <c r="BD161" i="4" a="1"/>
  <c r="BD161" i="4" s="1"/>
  <c r="BE161" i="4" a="1"/>
  <c r="BE161" i="4" s="1"/>
  <c r="AQ162" i="4"/>
  <c r="AR162" i="4" s="1"/>
  <c r="AS162" i="4"/>
  <c r="AT162" i="4" s="1"/>
  <c r="AX162" i="4" a="1"/>
  <c r="AX162" i="4" s="1"/>
  <c r="AY162" i="4" a="1"/>
  <c r="AY162" i="4" s="1"/>
  <c r="AZ162" i="4" a="1"/>
  <c r="AZ162" i="4" s="1"/>
  <c r="BA162" i="4" a="1"/>
  <c r="BA162" i="4" s="1"/>
  <c r="BB162" i="4" a="1"/>
  <c r="BB162" i="4" s="1"/>
  <c r="BC162" i="4" a="1"/>
  <c r="BC162" i="4" s="1"/>
  <c r="BD162" i="4" a="1"/>
  <c r="BD162" i="4" s="1"/>
  <c r="BE162" i="4" a="1"/>
  <c r="BE162" i="4" s="1"/>
  <c r="AQ163" i="4"/>
  <c r="AR163" i="4" s="1"/>
  <c r="AS163" i="4"/>
  <c r="AT163" i="4" s="1"/>
  <c r="AX163" i="4" a="1"/>
  <c r="AX163" i="4" s="1"/>
  <c r="AY163" i="4" a="1"/>
  <c r="AY163" i="4" s="1"/>
  <c r="AZ163" i="4" a="1"/>
  <c r="AZ163" i="4" s="1"/>
  <c r="BA163" i="4" a="1"/>
  <c r="BA163" i="4" s="1"/>
  <c r="BB163" i="4" a="1"/>
  <c r="BB163" i="4" s="1"/>
  <c r="BC163" i="4" a="1"/>
  <c r="BC163" i="4" s="1"/>
  <c r="BD163" i="4" a="1"/>
  <c r="BD163" i="4" s="1"/>
  <c r="BE163" i="4" a="1"/>
  <c r="BE163" i="4" s="1"/>
  <c r="AQ164" i="4"/>
  <c r="AR164" i="4" s="1"/>
  <c r="AS164" i="4"/>
  <c r="AT164" i="4" s="1"/>
  <c r="AX164" i="4" a="1"/>
  <c r="AX164" i="4" s="1"/>
  <c r="AY164" i="4" a="1"/>
  <c r="AY164" i="4" s="1"/>
  <c r="AZ164" i="4" a="1"/>
  <c r="AZ164" i="4" s="1"/>
  <c r="BA164" i="4" a="1"/>
  <c r="BA164" i="4" s="1"/>
  <c r="BB164" i="4" a="1"/>
  <c r="BB164" i="4" s="1"/>
  <c r="BC164" i="4" a="1"/>
  <c r="BC164" i="4" s="1"/>
  <c r="BD164" i="4" a="1"/>
  <c r="BD164" i="4" s="1"/>
  <c r="BE164" i="4" a="1"/>
  <c r="BE164" i="4" s="1"/>
  <c r="AQ165" i="4"/>
  <c r="AR165" i="4" s="1"/>
  <c r="AS165" i="4"/>
  <c r="AT165" i="4" s="1"/>
  <c r="AX165" i="4" a="1"/>
  <c r="AX165" i="4" s="1"/>
  <c r="AY165" i="4" a="1"/>
  <c r="AY165" i="4" s="1"/>
  <c r="AZ165" i="4" a="1"/>
  <c r="AZ165" i="4" s="1"/>
  <c r="BA165" i="4" a="1"/>
  <c r="BA165" i="4" s="1"/>
  <c r="BB165" i="4" a="1"/>
  <c r="BB165" i="4" s="1"/>
  <c r="BC165" i="4" a="1"/>
  <c r="BC165" i="4" s="1"/>
  <c r="BD165" i="4" a="1"/>
  <c r="BD165" i="4" s="1"/>
  <c r="BE165" i="4" a="1"/>
  <c r="BE165" i="4" s="1"/>
  <c r="AQ166" i="4"/>
  <c r="AR166" i="4" s="1"/>
  <c r="AS166" i="4"/>
  <c r="AT166" i="4" s="1"/>
  <c r="AX166" i="4" a="1"/>
  <c r="AX166" i="4" s="1"/>
  <c r="AY166" i="4" a="1"/>
  <c r="AY166" i="4" s="1"/>
  <c r="AZ166" i="4" a="1"/>
  <c r="AZ166" i="4" s="1"/>
  <c r="BA166" i="4" a="1"/>
  <c r="BA166" i="4" s="1"/>
  <c r="BB166" i="4" a="1"/>
  <c r="BB166" i="4" s="1"/>
  <c r="BC166" i="4" a="1"/>
  <c r="BC166" i="4" s="1"/>
  <c r="BD166" i="4" a="1"/>
  <c r="BD166" i="4" s="1"/>
  <c r="BE166" i="4" a="1"/>
  <c r="BE166" i="4" s="1"/>
  <c r="AQ167" i="4"/>
  <c r="AR167" i="4" s="1"/>
  <c r="AS167" i="4"/>
  <c r="AT167" i="4" s="1"/>
  <c r="AX167" i="4" a="1"/>
  <c r="AX167" i="4" s="1"/>
  <c r="AY167" i="4" a="1"/>
  <c r="AY167" i="4" s="1"/>
  <c r="AZ167" i="4" a="1"/>
  <c r="AZ167" i="4" s="1"/>
  <c r="BA167" i="4" a="1"/>
  <c r="BA167" i="4" s="1"/>
  <c r="BB167" i="4" a="1"/>
  <c r="BB167" i="4" s="1"/>
  <c r="BC167" i="4" a="1"/>
  <c r="BC167" i="4" s="1"/>
  <c r="BD167" i="4" a="1"/>
  <c r="BD167" i="4" s="1"/>
  <c r="BE167" i="4" a="1"/>
  <c r="BE167" i="4" s="1"/>
  <c r="AQ168" i="4"/>
  <c r="AR168" i="4" s="1"/>
  <c r="AS168" i="4"/>
  <c r="AT168" i="4" s="1"/>
  <c r="AX168" i="4" a="1"/>
  <c r="AX168" i="4" s="1"/>
  <c r="AY168" i="4" a="1"/>
  <c r="AY168" i="4" s="1"/>
  <c r="AZ168" i="4" a="1"/>
  <c r="AZ168" i="4" s="1"/>
  <c r="BA168" i="4" a="1"/>
  <c r="BA168" i="4" s="1"/>
  <c r="BB168" i="4" a="1"/>
  <c r="BB168" i="4" s="1"/>
  <c r="BC168" i="4" a="1"/>
  <c r="BC168" i="4" s="1"/>
  <c r="BD168" i="4" a="1"/>
  <c r="BD168" i="4" s="1"/>
  <c r="BE168" i="4" a="1"/>
  <c r="BE168" i="4" s="1"/>
  <c r="AQ169" i="4"/>
  <c r="AR169" i="4" s="1"/>
  <c r="AS169" i="4"/>
  <c r="AT169" i="4" s="1"/>
  <c r="AX169" i="4" a="1"/>
  <c r="AX169" i="4" s="1"/>
  <c r="AY169" i="4" a="1"/>
  <c r="AY169" i="4" s="1"/>
  <c r="AZ169" i="4" a="1"/>
  <c r="AZ169" i="4" s="1"/>
  <c r="BA169" i="4" a="1"/>
  <c r="BA169" i="4" s="1"/>
  <c r="BB169" i="4" a="1"/>
  <c r="BB169" i="4" s="1"/>
  <c r="BC169" i="4" a="1"/>
  <c r="BC169" i="4" s="1"/>
  <c r="BD169" i="4" a="1"/>
  <c r="BD169" i="4" s="1"/>
  <c r="BE169" i="4" a="1"/>
  <c r="BE169" i="4" s="1"/>
  <c r="AQ170" i="4"/>
  <c r="AR170" i="4" s="1"/>
  <c r="AS170" i="4"/>
  <c r="AT170" i="4" s="1"/>
  <c r="AX170" i="4" a="1"/>
  <c r="AX170" i="4" s="1"/>
  <c r="AY170" i="4" a="1"/>
  <c r="AY170" i="4" s="1"/>
  <c r="AZ170" i="4" a="1"/>
  <c r="AZ170" i="4" s="1"/>
  <c r="BA170" i="4" a="1"/>
  <c r="BA170" i="4" s="1"/>
  <c r="BB170" i="4" a="1"/>
  <c r="BB170" i="4" s="1"/>
  <c r="BC170" i="4" a="1"/>
  <c r="BC170" i="4" s="1"/>
  <c r="BD170" i="4" a="1"/>
  <c r="BD170" i="4" s="1"/>
  <c r="BE170" i="4" a="1"/>
  <c r="BE170" i="4" s="1"/>
  <c r="AQ171" i="4"/>
  <c r="AR171" i="4" s="1"/>
  <c r="AS171" i="4"/>
  <c r="AT171" i="4" s="1"/>
  <c r="AX171" i="4" a="1"/>
  <c r="AX171" i="4" s="1"/>
  <c r="AY171" i="4" a="1"/>
  <c r="AY171" i="4" s="1"/>
  <c r="AZ171" i="4" a="1"/>
  <c r="AZ171" i="4" s="1"/>
  <c r="BA171" i="4" a="1"/>
  <c r="BA171" i="4" s="1"/>
  <c r="BB171" i="4" a="1"/>
  <c r="BB171" i="4" s="1"/>
  <c r="BC171" i="4" a="1"/>
  <c r="BC171" i="4" s="1"/>
  <c r="BD171" i="4" a="1"/>
  <c r="BD171" i="4" s="1"/>
  <c r="BE171" i="4" a="1"/>
  <c r="BE171" i="4" s="1"/>
  <c r="AQ172" i="4"/>
  <c r="AR172" i="4" s="1"/>
  <c r="AS172" i="4"/>
  <c r="AT172" i="4" s="1"/>
  <c r="AX172" i="4" a="1"/>
  <c r="AX172" i="4" s="1"/>
  <c r="AY172" i="4" a="1"/>
  <c r="AY172" i="4" s="1"/>
  <c r="AZ172" i="4" a="1"/>
  <c r="AZ172" i="4" s="1"/>
  <c r="BA172" i="4" a="1"/>
  <c r="BA172" i="4" s="1"/>
  <c r="BB172" i="4" a="1"/>
  <c r="BB172" i="4" s="1"/>
  <c r="BC172" i="4" a="1"/>
  <c r="BC172" i="4" s="1"/>
  <c r="BD172" i="4" a="1"/>
  <c r="BD172" i="4" s="1"/>
  <c r="BE172" i="4" a="1"/>
  <c r="BE172" i="4" s="1"/>
  <c r="AQ173" i="4"/>
  <c r="AR173" i="4" s="1"/>
  <c r="AS173" i="4"/>
  <c r="AT173" i="4" s="1"/>
  <c r="AX173" i="4" a="1"/>
  <c r="AX173" i="4" s="1"/>
  <c r="AY173" i="4" a="1"/>
  <c r="AY173" i="4" s="1"/>
  <c r="AZ173" i="4" a="1"/>
  <c r="AZ173" i="4" s="1"/>
  <c r="BA173" i="4" a="1"/>
  <c r="BA173" i="4" s="1"/>
  <c r="BB173" i="4" a="1"/>
  <c r="BB173" i="4" s="1"/>
  <c r="BC173" i="4" a="1"/>
  <c r="BC173" i="4" s="1"/>
  <c r="BD173" i="4" a="1"/>
  <c r="BD173" i="4" s="1"/>
  <c r="BE173" i="4" a="1"/>
  <c r="BE173" i="4" s="1"/>
  <c r="AQ174" i="4"/>
  <c r="AR174" i="4" s="1"/>
  <c r="AS174" i="4"/>
  <c r="AT174" i="4" s="1"/>
  <c r="AX174" i="4" a="1"/>
  <c r="AX174" i="4" s="1"/>
  <c r="AY174" i="4" a="1"/>
  <c r="AY174" i="4" s="1"/>
  <c r="AZ174" i="4" a="1"/>
  <c r="AZ174" i="4" s="1"/>
  <c r="BA174" i="4" a="1"/>
  <c r="BA174" i="4" s="1"/>
  <c r="BB174" i="4" a="1"/>
  <c r="BB174" i="4" s="1"/>
  <c r="BC174" i="4" a="1"/>
  <c r="BC174" i="4" s="1"/>
  <c r="BD174" i="4" a="1"/>
  <c r="BD174" i="4" s="1"/>
  <c r="BE174" i="4" a="1"/>
  <c r="BE174" i="4" s="1"/>
  <c r="AQ175" i="4"/>
  <c r="AR175" i="4" s="1"/>
  <c r="AS175" i="4"/>
  <c r="AT175" i="4" s="1"/>
  <c r="AX175" i="4" a="1"/>
  <c r="AX175" i="4" s="1"/>
  <c r="AY175" i="4" a="1"/>
  <c r="AY175" i="4" s="1"/>
  <c r="AZ175" i="4" a="1"/>
  <c r="AZ175" i="4" s="1"/>
  <c r="BA175" i="4" a="1"/>
  <c r="BA175" i="4" s="1"/>
  <c r="BB175" i="4" a="1"/>
  <c r="BB175" i="4" s="1"/>
  <c r="BC175" i="4" a="1"/>
  <c r="BC175" i="4" s="1"/>
  <c r="BD175" i="4" a="1"/>
  <c r="BD175" i="4" s="1"/>
  <c r="BE175" i="4" a="1"/>
  <c r="BE175" i="4" s="1"/>
  <c r="AQ176" i="4"/>
  <c r="AR176" i="4" s="1"/>
  <c r="AS176" i="4"/>
  <c r="AT176" i="4" s="1"/>
  <c r="AX176" i="4" a="1"/>
  <c r="AX176" i="4" s="1"/>
  <c r="AY176" i="4" a="1"/>
  <c r="AY176" i="4" s="1"/>
  <c r="AZ176" i="4" a="1"/>
  <c r="AZ176" i="4" s="1"/>
  <c r="BA176" i="4" a="1"/>
  <c r="BA176" i="4" s="1"/>
  <c r="BB176" i="4" a="1"/>
  <c r="BB176" i="4" s="1"/>
  <c r="BC176" i="4" a="1"/>
  <c r="BC176" i="4" s="1"/>
  <c r="BD176" i="4" a="1"/>
  <c r="BD176" i="4" s="1"/>
  <c r="BE176" i="4" a="1"/>
  <c r="BE176" i="4" s="1"/>
  <c r="AQ177" i="4"/>
  <c r="AR177" i="4" s="1"/>
  <c r="AS177" i="4"/>
  <c r="AT177" i="4" s="1"/>
  <c r="AX177" i="4" a="1"/>
  <c r="AX177" i="4" s="1"/>
  <c r="AY177" i="4" a="1"/>
  <c r="AY177" i="4" s="1"/>
  <c r="AZ177" i="4" a="1"/>
  <c r="AZ177" i="4" s="1"/>
  <c r="BA177" i="4" a="1"/>
  <c r="BA177" i="4" s="1"/>
  <c r="BB177" i="4" a="1"/>
  <c r="BB177" i="4" s="1"/>
  <c r="BC177" i="4" a="1"/>
  <c r="BC177" i="4" s="1"/>
  <c r="BD177" i="4" a="1"/>
  <c r="BD177" i="4" s="1"/>
  <c r="BE177" i="4" a="1"/>
  <c r="BE177" i="4" s="1"/>
  <c r="AQ178" i="4"/>
  <c r="AR178" i="4" s="1"/>
  <c r="AS178" i="4"/>
  <c r="AT178" i="4" s="1"/>
  <c r="AX178" i="4" a="1"/>
  <c r="AX178" i="4" s="1"/>
  <c r="AY178" i="4" a="1"/>
  <c r="AY178" i="4" s="1"/>
  <c r="AZ178" i="4" a="1"/>
  <c r="AZ178" i="4" s="1"/>
  <c r="BA178" i="4" a="1"/>
  <c r="BA178" i="4" s="1"/>
  <c r="BB178" i="4" a="1"/>
  <c r="BB178" i="4" s="1"/>
  <c r="BC178" i="4" a="1"/>
  <c r="BC178" i="4" s="1"/>
  <c r="BD178" i="4" a="1"/>
  <c r="BD178" i="4" s="1"/>
  <c r="BE178" i="4" a="1"/>
  <c r="BE178" i="4" s="1"/>
  <c r="AQ179" i="4"/>
  <c r="AR179" i="4" s="1"/>
  <c r="AS179" i="4"/>
  <c r="AT179" i="4" s="1"/>
  <c r="AX179" i="4" a="1"/>
  <c r="AX179" i="4" s="1"/>
  <c r="AY179" i="4" a="1"/>
  <c r="AY179" i="4" s="1"/>
  <c r="AZ179" i="4" a="1"/>
  <c r="AZ179" i="4" s="1"/>
  <c r="BA179" i="4" a="1"/>
  <c r="BA179" i="4" s="1"/>
  <c r="BB179" i="4" a="1"/>
  <c r="BB179" i="4" s="1"/>
  <c r="BC179" i="4" a="1"/>
  <c r="BC179" i="4" s="1"/>
  <c r="BD179" i="4" a="1"/>
  <c r="BD179" i="4" s="1"/>
  <c r="BE179" i="4" a="1"/>
  <c r="BE179" i="4" s="1"/>
  <c r="AQ180" i="4"/>
  <c r="AR180" i="4" s="1"/>
  <c r="AS180" i="4"/>
  <c r="AT180" i="4" s="1"/>
  <c r="AX180" i="4" a="1"/>
  <c r="AX180" i="4" s="1"/>
  <c r="AY180" i="4" a="1"/>
  <c r="AY180" i="4" s="1"/>
  <c r="AZ180" i="4" a="1"/>
  <c r="AZ180" i="4" s="1"/>
  <c r="BA180" i="4" a="1"/>
  <c r="BA180" i="4" s="1"/>
  <c r="BB180" i="4" a="1"/>
  <c r="BB180" i="4" s="1"/>
  <c r="BC180" i="4" a="1"/>
  <c r="BC180" i="4" s="1"/>
  <c r="BD180" i="4" a="1"/>
  <c r="BD180" i="4" s="1"/>
  <c r="BE180" i="4" a="1"/>
  <c r="BE180" i="4" s="1"/>
  <c r="AQ181" i="4"/>
  <c r="AR181" i="4" s="1"/>
  <c r="AS181" i="4"/>
  <c r="AT181" i="4" s="1"/>
  <c r="AX181" i="4" a="1"/>
  <c r="AX181" i="4" s="1"/>
  <c r="AY181" i="4" a="1"/>
  <c r="AY181" i="4" s="1"/>
  <c r="AZ181" i="4" a="1"/>
  <c r="AZ181" i="4" s="1"/>
  <c r="BA181" i="4" a="1"/>
  <c r="BA181" i="4" s="1"/>
  <c r="BB181" i="4" a="1"/>
  <c r="BB181" i="4" s="1"/>
  <c r="BC181" i="4" a="1"/>
  <c r="BC181" i="4" s="1"/>
  <c r="BD181" i="4" a="1"/>
  <c r="BD181" i="4" s="1"/>
  <c r="BE181" i="4" a="1"/>
  <c r="BE181" i="4" s="1"/>
  <c r="AQ182" i="4"/>
  <c r="AR182" i="4" s="1"/>
  <c r="AS182" i="4"/>
  <c r="AT182" i="4" s="1"/>
  <c r="AX182" i="4" a="1"/>
  <c r="AX182" i="4" s="1"/>
  <c r="AY182" i="4" a="1"/>
  <c r="AY182" i="4" s="1"/>
  <c r="AZ182" i="4" a="1"/>
  <c r="AZ182" i="4" s="1"/>
  <c r="BA182" i="4" a="1"/>
  <c r="BA182" i="4" s="1"/>
  <c r="BB182" i="4" a="1"/>
  <c r="BB182" i="4" s="1"/>
  <c r="BC182" i="4" a="1"/>
  <c r="BC182" i="4" s="1"/>
  <c r="BD182" i="4" a="1"/>
  <c r="BD182" i="4" s="1"/>
  <c r="BE182" i="4" a="1"/>
  <c r="BE182" i="4" s="1"/>
  <c r="AQ183" i="4"/>
  <c r="AR183" i="4" s="1"/>
  <c r="AS183" i="4"/>
  <c r="AT183" i="4" s="1"/>
  <c r="AX183" i="4" a="1"/>
  <c r="AX183" i="4" s="1"/>
  <c r="AY183" i="4" a="1"/>
  <c r="AY183" i="4" s="1"/>
  <c r="AZ183" i="4" a="1"/>
  <c r="AZ183" i="4" s="1"/>
  <c r="BA183" i="4" a="1"/>
  <c r="BA183" i="4" s="1"/>
  <c r="BB183" i="4" a="1"/>
  <c r="BB183" i="4" s="1"/>
  <c r="BC183" i="4" a="1"/>
  <c r="BC183" i="4" s="1"/>
  <c r="BD183" i="4" a="1"/>
  <c r="BD183" i="4" s="1"/>
  <c r="BE183" i="4" a="1"/>
  <c r="BE183" i="4" s="1"/>
  <c r="AQ184" i="4"/>
  <c r="AR184" i="4" s="1"/>
  <c r="AS184" i="4"/>
  <c r="AT184" i="4" s="1"/>
  <c r="AX184" i="4" a="1"/>
  <c r="AX184" i="4" s="1"/>
  <c r="AY184" i="4" a="1"/>
  <c r="AY184" i="4" s="1"/>
  <c r="AZ184" i="4" a="1"/>
  <c r="AZ184" i="4" s="1"/>
  <c r="BA184" i="4" a="1"/>
  <c r="BA184" i="4" s="1"/>
  <c r="BB184" i="4" a="1"/>
  <c r="BB184" i="4" s="1"/>
  <c r="BC184" i="4" a="1"/>
  <c r="BC184" i="4" s="1"/>
  <c r="BD184" i="4" a="1"/>
  <c r="BD184" i="4" s="1"/>
  <c r="BE184" i="4" a="1"/>
  <c r="BE184" i="4" s="1"/>
  <c r="AQ185" i="4"/>
  <c r="AR185" i="4" s="1"/>
  <c r="AS185" i="4"/>
  <c r="AT185" i="4" s="1"/>
  <c r="AX185" i="4" a="1"/>
  <c r="AX185" i="4" s="1"/>
  <c r="AY185" i="4" a="1"/>
  <c r="AY185" i="4" s="1"/>
  <c r="AZ185" i="4" a="1"/>
  <c r="AZ185" i="4" s="1"/>
  <c r="BA185" i="4" a="1"/>
  <c r="BA185" i="4" s="1"/>
  <c r="BB185" i="4" a="1"/>
  <c r="BB185" i="4" s="1"/>
  <c r="BC185" i="4" a="1"/>
  <c r="BC185" i="4" s="1"/>
  <c r="BD185" i="4" a="1"/>
  <c r="BD185" i="4" s="1"/>
  <c r="BE185" i="4" a="1"/>
  <c r="BE185" i="4" s="1"/>
  <c r="AQ186" i="4"/>
  <c r="AR186" i="4" s="1"/>
  <c r="AS186" i="4"/>
  <c r="AT186" i="4" s="1"/>
  <c r="AX186" i="4" a="1"/>
  <c r="AX186" i="4" s="1"/>
  <c r="AY186" i="4" a="1"/>
  <c r="AY186" i="4" s="1"/>
  <c r="AZ186" i="4" a="1"/>
  <c r="AZ186" i="4" s="1"/>
  <c r="BA186" i="4" a="1"/>
  <c r="BA186" i="4" s="1"/>
  <c r="BB186" i="4" a="1"/>
  <c r="BB186" i="4" s="1"/>
  <c r="BC186" i="4" a="1"/>
  <c r="BC186" i="4" s="1"/>
  <c r="BD186" i="4" a="1"/>
  <c r="BD186" i="4" s="1"/>
  <c r="BE186" i="4" a="1"/>
  <c r="BE186" i="4" s="1"/>
  <c r="AQ187" i="4"/>
  <c r="AR187" i="4" s="1"/>
  <c r="AS187" i="4"/>
  <c r="AT187" i="4" s="1"/>
  <c r="AX187" i="4" a="1"/>
  <c r="AX187" i="4" s="1"/>
  <c r="AY187" i="4" a="1"/>
  <c r="AY187" i="4" s="1"/>
  <c r="AZ187" i="4" a="1"/>
  <c r="AZ187" i="4" s="1"/>
  <c r="BA187" i="4" a="1"/>
  <c r="BA187" i="4" s="1"/>
  <c r="BB187" i="4" a="1"/>
  <c r="BB187" i="4" s="1"/>
  <c r="BC187" i="4" a="1"/>
  <c r="BC187" i="4" s="1"/>
  <c r="BD187" i="4" a="1"/>
  <c r="BD187" i="4" s="1"/>
  <c r="BE187" i="4" a="1"/>
  <c r="BE187" i="4" s="1"/>
  <c r="AQ188" i="4"/>
  <c r="AR188" i="4" s="1"/>
  <c r="AS188" i="4"/>
  <c r="AT188" i="4" s="1"/>
  <c r="AX188" i="4" a="1"/>
  <c r="AX188" i="4" s="1"/>
  <c r="AY188" i="4" a="1"/>
  <c r="AY188" i="4" s="1"/>
  <c r="AZ188" i="4" a="1"/>
  <c r="AZ188" i="4" s="1"/>
  <c r="BA188" i="4" a="1"/>
  <c r="BA188" i="4" s="1"/>
  <c r="BB188" i="4" a="1"/>
  <c r="BB188" i="4" s="1"/>
  <c r="BC188" i="4" a="1"/>
  <c r="BC188" i="4" s="1"/>
  <c r="BD188" i="4" a="1"/>
  <c r="BD188" i="4" s="1"/>
  <c r="BE188" i="4" a="1"/>
  <c r="BE188" i="4" s="1"/>
  <c r="AQ189" i="4"/>
  <c r="AR189" i="4" s="1"/>
  <c r="AS189" i="4"/>
  <c r="AT189" i="4" s="1"/>
  <c r="AX189" i="4" a="1"/>
  <c r="AX189" i="4" s="1"/>
  <c r="AY189" i="4" a="1"/>
  <c r="AY189" i="4" s="1"/>
  <c r="AZ189" i="4" a="1"/>
  <c r="AZ189" i="4" s="1"/>
  <c r="BA189" i="4" a="1"/>
  <c r="BA189" i="4" s="1"/>
  <c r="BB189" i="4" a="1"/>
  <c r="BB189" i="4" s="1"/>
  <c r="BC189" i="4" a="1"/>
  <c r="BC189" i="4" s="1"/>
  <c r="BD189" i="4" a="1"/>
  <c r="BD189" i="4" s="1"/>
  <c r="BE189" i="4" a="1"/>
  <c r="BE189" i="4" s="1"/>
  <c r="AQ190" i="4"/>
  <c r="AR190" i="4" s="1"/>
  <c r="AS190" i="4"/>
  <c r="AT190" i="4" s="1"/>
  <c r="AX190" i="4" a="1"/>
  <c r="AX190" i="4" s="1"/>
  <c r="AY190" i="4" a="1"/>
  <c r="AY190" i="4" s="1"/>
  <c r="AZ190" i="4" a="1"/>
  <c r="AZ190" i="4" s="1"/>
  <c r="BA190" i="4" a="1"/>
  <c r="BA190" i="4" s="1"/>
  <c r="BB190" i="4" a="1"/>
  <c r="BB190" i="4" s="1"/>
  <c r="BC190" i="4" a="1"/>
  <c r="BC190" i="4" s="1"/>
  <c r="BD190" i="4" a="1"/>
  <c r="BD190" i="4" s="1"/>
  <c r="BE190" i="4" a="1"/>
  <c r="BE190" i="4" s="1"/>
  <c r="AQ191" i="4"/>
  <c r="AR191" i="4" s="1"/>
  <c r="AS191" i="4"/>
  <c r="AT191" i="4" s="1"/>
  <c r="AX191" i="4" a="1"/>
  <c r="AX191" i="4" s="1"/>
  <c r="AY191" i="4" a="1"/>
  <c r="AY191" i="4" s="1"/>
  <c r="AZ191" i="4" a="1"/>
  <c r="AZ191" i="4" s="1"/>
  <c r="BA191" i="4" a="1"/>
  <c r="BA191" i="4" s="1"/>
  <c r="BB191" i="4" a="1"/>
  <c r="BB191" i="4" s="1"/>
  <c r="BC191" i="4" a="1"/>
  <c r="BC191" i="4" s="1"/>
  <c r="BD191" i="4" a="1"/>
  <c r="BD191" i="4" s="1"/>
  <c r="BE191" i="4" a="1"/>
  <c r="BE191" i="4" s="1"/>
  <c r="AQ192" i="4"/>
  <c r="AR192" i="4" s="1"/>
  <c r="AS192" i="4"/>
  <c r="AT192" i="4" s="1"/>
  <c r="AX192" i="4" a="1"/>
  <c r="AX192" i="4" s="1"/>
  <c r="AY192" i="4" a="1"/>
  <c r="AY192" i="4" s="1"/>
  <c r="AZ192" i="4" a="1"/>
  <c r="AZ192" i="4" s="1"/>
  <c r="BA192" i="4" a="1"/>
  <c r="BA192" i="4" s="1"/>
  <c r="BB192" i="4" a="1"/>
  <c r="BB192" i="4" s="1"/>
  <c r="BC192" i="4" a="1"/>
  <c r="BC192" i="4" s="1"/>
  <c r="BD192" i="4" a="1"/>
  <c r="BD192" i="4" s="1"/>
  <c r="BE192" i="4" a="1"/>
  <c r="BE192" i="4" s="1"/>
  <c r="AQ193" i="4"/>
  <c r="AR193" i="4" s="1"/>
  <c r="AS193" i="4"/>
  <c r="AT193" i="4" s="1"/>
  <c r="AX193" i="4" a="1"/>
  <c r="AX193" i="4" s="1"/>
  <c r="AY193" i="4" a="1"/>
  <c r="AY193" i="4" s="1"/>
  <c r="AZ193" i="4" a="1"/>
  <c r="AZ193" i="4" s="1"/>
  <c r="BA193" i="4" a="1"/>
  <c r="BA193" i="4" s="1"/>
  <c r="BB193" i="4" a="1"/>
  <c r="BB193" i="4" s="1"/>
  <c r="BC193" i="4" a="1"/>
  <c r="BC193" i="4" s="1"/>
  <c r="BD193" i="4" a="1"/>
  <c r="BD193" i="4" s="1"/>
  <c r="BE193" i="4" a="1"/>
  <c r="BE193" i="4" s="1"/>
  <c r="AQ194" i="4"/>
  <c r="AR194" i="4" s="1"/>
  <c r="AS194" i="4"/>
  <c r="AT194" i="4" s="1"/>
  <c r="AX194" i="4" a="1"/>
  <c r="AX194" i="4" s="1"/>
  <c r="AY194" i="4" a="1"/>
  <c r="AY194" i="4" s="1"/>
  <c r="AZ194" i="4" a="1"/>
  <c r="AZ194" i="4" s="1"/>
  <c r="BA194" i="4" a="1"/>
  <c r="BA194" i="4" s="1"/>
  <c r="BB194" i="4" a="1"/>
  <c r="BB194" i="4" s="1"/>
  <c r="BC194" i="4" a="1"/>
  <c r="BC194" i="4" s="1"/>
  <c r="BD194" i="4" a="1"/>
  <c r="BD194" i="4" s="1"/>
  <c r="BE194" i="4" a="1"/>
  <c r="BE194" i="4" s="1"/>
  <c r="AQ195" i="4"/>
  <c r="AR195" i="4" s="1"/>
  <c r="AS195" i="4"/>
  <c r="AT195" i="4" s="1"/>
  <c r="AX195" i="4" a="1"/>
  <c r="AX195" i="4" s="1"/>
  <c r="AY195" i="4" a="1"/>
  <c r="AY195" i="4" s="1"/>
  <c r="AZ195" i="4" a="1"/>
  <c r="AZ195" i="4" s="1"/>
  <c r="BA195" i="4" a="1"/>
  <c r="BA195" i="4" s="1"/>
  <c r="BB195" i="4" a="1"/>
  <c r="BB195" i="4" s="1"/>
  <c r="BC195" i="4" a="1"/>
  <c r="BC195" i="4" s="1"/>
  <c r="BD195" i="4" a="1"/>
  <c r="BD195" i="4" s="1"/>
  <c r="BE195" i="4" a="1"/>
  <c r="BE195" i="4" s="1"/>
  <c r="AQ196" i="4"/>
  <c r="AR196" i="4" s="1"/>
  <c r="AS196" i="4"/>
  <c r="AT196" i="4" s="1"/>
  <c r="AX196" i="4" a="1"/>
  <c r="AX196" i="4" s="1"/>
  <c r="AY196" i="4" a="1"/>
  <c r="AY196" i="4" s="1"/>
  <c r="AZ196" i="4" a="1"/>
  <c r="AZ196" i="4" s="1"/>
  <c r="BA196" i="4" a="1"/>
  <c r="BA196" i="4" s="1"/>
  <c r="BB196" i="4" a="1"/>
  <c r="BB196" i="4" s="1"/>
  <c r="BC196" i="4" a="1"/>
  <c r="BC196" i="4" s="1"/>
  <c r="BD196" i="4" a="1"/>
  <c r="BD196" i="4" s="1"/>
  <c r="BE196" i="4" a="1"/>
  <c r="BE196" i="4" s="1"/>
  <c r="AQ197" i="4"/>
  <c r="AR197" i="4" s="1"/>
  <c r="AS197" i="4"/>
  <c r="AT197" i="4" s="1"/>
  <c r="AX197" i="4" a="1"/>
  <c r="AX197" i="4" s="1"/>
  <c r="AY197" i="4" a="1"/>
  <c r="AY197" i="4" s="1"/>
  <c r="AZ197" i="4" a="1"/>
  <c r="AZ197" i="4" s="1"/>
  <c r="BA197" i="4" a="1"/>
  <c r="BA197" i="4" s="1"/>
  <c r="BB197" i="4" a="1"/>
  <c r="BB197" i="4" s="1"/>
  <c r="BC197" i="4" a="1"/>
  <c r="BC197" i="4" s="1"/>
  <c r="BD197" i="4" a="1"/>
  <c r="BD197" i="4" s="1"/>
  <c r="BE197" i="4" a="1"/>
  <c r="BE197" i="4" s="1"/>
  <c r="AQ198" i="4"/>
  <c r="AR198" i="4" s="1"/>
  <c r="AS198" i="4"/>
  <c r="AT198" i="4" s="1"/>
  <c r="AX198" i="4" a="1"/>
  <c r="AX198" i="4" s="1"/>
  <c r="AY198" i="4" a="1"/>
  <c r="AY198" i="4" s="1"/>
  <c r="AZ198" i="4" a="1"/>
  <c r="AZ198" i="4" s="1"/>
  <c r="BA198" i="4" a="1"/>
  <c r="BA198" i="4" s="1"/>
  <c r="BB198" i="4" a="1"/>
  <c r="BB198" i="4" s="1"/>
  <c r="BC198" i="4" a="1"/>
  <c r="BC198" i="4" s="1"/>
  <c r="BD198" i="4" a="1"/>
  <c r="BD198" i="4" s="1"/>
  <c r="BE198" i="4" a="1"/>
  <c r="BE198" i="4" s="1"/>
  <c r="AQ199" i="4"/>
  <c r="AR199" i="4" s="1"/>
  <c r="AS199" i="4"/>
  <c r="AT199" i="4" s="1"/>
  <c r="AX199" i="4" a="1"/>
  <c r="AX199" i="4" s="1"/>
  <c r="AY199" i="4" a="1"/>
  <c r="AY199" i="4" s="1"/>
  <c r="AZ199" i="4" a="1"/>
  <c r="AZ199" i="4" s="1"/>
  <c r="BA199" i="4" a="1"/>
  <c r="BA199" i="4" s="1"/>
  <c r="BB199" i="4" a="1"/>
  <c r="BB199" i="4" s="1"/>
  <c r="BC199" i="4" a="1"/>
  <c r="BC199" i="4" s="1"/>
  <c r="BD199" i="4" a="1"/>
  <c r="BD199" i="4" s="1"/>
  <c r="BE199" i="4" a="1"/>
  <c r="BE199" i="4" s="1"/>
  <c r="AQ200" i="4"/>
  <c r="AR200" i="4" s="1"/>
  <c r="AS200" i="4"/>
  <c r="AT200" i="4" s="1"/>
  <c r="AX200" i="4" a="1"/>
  <c r="AX200" i="4" s="1"/>
  <c r="AY200" i="4" a="1"/>
  <c r="AY200" i="4" s="1"/>
  <c r="AZ200" i="4" a="1"/>
  <c r="AZ200" i="4" s="1"/>
  <c r="BA200" i="4" a="1"/>
  <c r="BA200" i="4" s="1"/>
  <c r="BB200" i="4" a="1"/>
  <c r="BB200" i="4" s="1"/>
  <c r="BC200" i="4" a="1"/>
  <c r="BC200" i="4" s="1"/>
  <c r="BD200" i="4" a="1"/>
  <c r="BD200" i="4" s="1"/>
  <c r="BE200" i="4" a="1"/>
  <c r="BE200" i="4" s="1"/>
  <c r="AQ201" i="4"/>
  <c r="AR201" i="4" s="1"/>
  <c r="AS201" i="4"/>
  <c r="AT201" i="4" s="1"/>
  <c r="AX201" i="4" a="1"/>
  <c r="AX201" i="4" s="1"/>
  <c r="AY201" i="4" a="1"/>
  <c r="AY201" i="4" s="1"/>
  <c r="AZ201" i="4" a="1"/>
  <c r="AZ201" i="4" s="1"/>
  <c r="BA201" i="4" a="1"/>
  <c r="BA201" i="4" s="1"/>
  <c r="BB201" i="4" a="1"/>
  <c r="BB201" i="4" s="1"/>
  <c r="BC201" i="4" a="1"/>
  <c r="BC201" i="4" s="1"/>
  <c r="BD201" i="4" a="1"/>
  <c r="BD201" i="4" s="1"/>
  <c r="BE201" i="4" a="1"/>
  <c r="BE201" i="4" s="1"/>
  <c r="AQ202" i="4"/>
  <c r="AR202" i="4" s="1"/>
  <c r="AS202" i="4"/>
  <c r="AT202" i="4" s="1"/>
  <c r="AX202" i="4" a="1"/>
  <c r="AX202" i="4" s="1"/>
  <c r="AY202" i="4" a="1"/>
  <c r="AY202" i="4" s="1"/>
  <c r="AZ202" i="4" a="1"/>
  <c r="AZ202" i="4" s="1"/>
  <c r="BA202" i="4" a="1"/>
  <c r="BA202" i="4" s="1"/>
  <c r="BB202" i="4" a="1"/>
  <c r="BB202" i="4" s="1"/>
  <c r="BC202" i="4" a="1"/>
  <c r="BC202" i="4" s="1"/>
  <c r="BD202" i="4" a="1"/>
  <c r="BD202" i="4" s="1"/>
  <c r="BE202" i="4" a="1"/>
  <c r="BE202" i="4" s="1"/>
  <c r="AQ203" i="4"/>
  <c r="AR203" i="4" s="1"/>
  <c r="AS203" i="4"/>
  <c r="AT203" i="4" s="1"/>
  <c r="AX203" i="4" a="1"/>
  <c r="AX203" i="4" s="1"/>
  <c r="AY203" i="4" a="1"/>
  <c r="AY203" i="4" s="1"/>
  <c r="AZ203" i="4" a="1"/>
  <c r="AZ203" i="4" s="1"/>
  <c r="BA203" i="4" a="1"/>
  <c r="BA203" i="4" s="1"/>
  <c r="BB203" i="4" a="1"/>
  <c r="BB203" i="4" s="1"/>
  <c r="BC203" i="4" a="1"/>
  <c r="BC203" i="4" s="1"/>
  <c r="BD203" i="4" a="1"/>
  <c r="BD203" i="4" s="1"/>
  <c r="BE203" i="4" a="1"/>
  <c r="BE203" i="4" s="1"/>
  <c r="AQ204" i="4"/>
  <c r="AR204" i="4" s="1"/>
  <c r="AS204" i="4"/>
  <c r="AT204" i="4" s="1"/>
  <c r="AX204" i="4" a="1"/>
  <c r="AX204" i="4" s="1"/>
  <c r="AY204" i="4" a="1"/>
  <c r="AY204" i="4" s="1"/>
  <c r="AZ204" i="4" a="1"/>
  <c r="AZ204" i="4" s="1"/>
  <c r="BA204" i="4" a="1"/>
  <c r="BA204" i="4" s="1"/>
  <c r="BB204" i="4" a="1"/>
  <c r="BB204" i="4" s="1"/>
  <c r="BC204" i="4" a="1"/>
  <c r="BC204" i="4" s="1"/>
  <c r="BD204" i="4" a="1"/>
  <c r="BD204" i="4" s="1"/>
  <c r="BE204" i="4" a="1"/>
  <c r="BE204" i="4" s="1"/>
  <c r="AP14" i="4" l="1"/>
  <c r="AQ14" i="4"/>
  <c r="AR14" i="4" s="1"/>
  <c r="AS14" i="4"/>
  <c r="AT14" i="4" s="1"/>
  <c r="AX14" i="4" a="1"/>
  <c r="AX14" i="4" s="1"/>
  <c r="AY14" i="4" a="1"/>
  <c r="AY14" i="4" s="1"/>
  <c r="AZ14" i="4" a="1"/>
  <c r="AZ14" i="4" s="1"/>
  <c r="BA14" i="4" a="1"/>
  <c r="BA14" i="4" s="1"/>
  <c r="BB14" i="4" a="1"/>
  <c r="BB14" i="4" s="1"/>
  <c r="BC14" i="4" a="1"/>
  <c r="BC14" i="4" s="1"/>
  <c r="BD14" i="4" a="1"/>
  <c r="BD14" i="4" s="1"/>
  <c r="BE14" i="4" a="1"/>
  <c r="BE14" i="4" s="1"/>
  <c r="B28" i="9" l="1"/>
  <c r="B12" i="9"/>
  <c r="B8" i="9"/>
  <c r="B9" i="9" s="1"/>
  <c r="B13" i="9" l="1"/>
  <c r="B14" i="9"/>
  <c r="B19" i="9" s="1"/>
  <c r="B23" i="9" l="1"/>
  <c r="B21" i="9"/>
  <c r="B24" i="9" l="1"/>
  <c r="B26" i="9" s="1"/>
  <c r="B27"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<sst xmlns="http://schemas.openxmlformats.org/spreadsheetml/2006/main" count="1656" uniqueCount="257">
  <si>
    <t>* للمزيد من الدعم، يرجى الرجوع إلى "إرشادات مراجعة وتحديث محركات عبء العمل" (PDF). في حال عدم استلامكم للوثيقة، يرجى طلبها من إدارة الموارد البشرية.</t>
  </si>
  <si>
    <t>المفتاح التوضيحي:</t>
  </si>
  <si>
    <t>خلايا مدخلات لمحركات عبء العمل الجديدة (حسب الحاجة)</t>
  </si>
  <si>
    <t xml:space="preserve">خلايا مدخلات لمراجعة البيانات وتحديثها (مثل متطلبات الحجم لفترة 2023 - 2029) </t>
  </si>
  <si>
    <t>خلايا مدخلات للبيانات الجديدة المطلوبة (مثل متطلبات الحجم لسنة 2030)</t>
  </si>
  <si>
    <t>مبرر تغييرات عبء العمل</t>
  </si>
  <si>
    <t>الحجم</t>
  </si>
  <si>
    <t>الجهة</t>
  </si>
  <si>
    <t>القطاع</t>
  </si>
  <si>
    <t>الإدارة</t>
  </si>
  <si>
    <t>القسم</t>
  </si>
  <si>
    <t>محرك عبء العمل</t>
  </si>
  <si>
    <t>طريقة الحساب</t>
  </si>
  <si>
    <t>متطلبات الوقت/النسبة</t>
  </si>
  <si>
    <t>الوحدة</t>
  </si>
  <si>
    <t>الملاحظات</t>
  </si>
  <si>
    <t>الحاجة إلى تبرير تغيير الحجم</t>
  </si>
  <si>
    <t>مبرر تغيير الحجم</t>
  </si>
  <si>
    <t>الحاجة إلى تبرير متطلب الوقت/النسبة</t>
  </si>
  <si>
    <t>مبرر تغيير الوقت/النسبة</t>
  </si>
  <si>
    <t>الحاجة إلى تبرير تغيير الوحدة</t>
  </si>
  <si>
    <t>مبرر تغيير الوحدة</t>
  </si>
  <si>
    <t xml:space="preserve">ملاحظات فريق المشروع </t>
  </si>
  <si>
    <t>الاستجابة من الإدارة</t>
  </si>
  <si>
    <t>إدخال اسم الجهة</t>
  </si>
  <si>
    <t>إدخال اسم القطاع</t>
  </si>
  <si>
    <t>إدخال اسم الإدارة</t>
  </si>
  <si>
    <t>إدخال اسم القسم</t>
  </si>
  <si>
    <t>مراجعة بيانات الحجم عند خط الأساس</t>
  </si>
  <si>
    <t xml:space="preserve">مراجعة بيانات الحجم </t>
  </si>
  <si>
    <t>إدخال بيانات الحجم</t>
  </si>
  <si>
    <t>مراجعة الوقت اللازم لاستكمال كل محرك عبء العمل على افتراض استكماله من قبل موظف واحد؛ يجب إجراء تغييرات محدودة فقط</t>
  </si>
  <si>
    <t>ساعات</t>
  </si>
  <si>
    <t>Frequency/ Ratio</t>
  </si>
  <si>
    <t>Unit</t>
  </si>
  <si>
    <t>مراجعة وتحديث محركات عبء العمل (المرحلة الثالثة من برنامج تخطيط القوى العاملة الحكومية)</t>
  </si>
  <si>
    <t>خلايا مقفولة تحتوي على محركات عبء العمل للمرحلة الثانية من برنامج تخطيط القوى العاملة الحكومية</t>
  </si>
  <si>
    <t xml:space="preserve">إضافة أو حذف محركات عبء العمل لمراعاة التغييرات مقارنةً بالمرحلة الثانية من خطة القوى العاملة الحكومية؛ يجب أن تكون التغييرات محدودة ومبنية على عوامل مختارة، منها إعادة الهيكلة التنظيمية أو تعديل المسؤوليات أو الملاحظات الواردة من فريق المشروع </t>
  </si>
  <si>
    <t>المرحلة الثالثة من برنامج تخطيط القوى العاملة الحكومية (2025 - للمراجعة)</t>
  </si>
  <si>
    <t>المرحلة الثانية من برنامج تخطيط القوى العاملة الحكومية (2024 - للمرجعية)</t>
  </si>
  <si>
    <t xml:space="preserve">تعبئة وحدة الوقت باستخدام القائمة الاختيارية </t>
  </si>
  <si>
    <t>تحديث الملاحظات وتقديم تفاصيل إضافية حول محركات عبء العمل والبيانات المرتبطة بها؛ يرجى الملاحظة أن محركات عبء العمل الجديدة تتطلب تبريرًا</t>
  </si>
  <si>
    <t>تقديم تبريرات للتغييرات الكبيرة في الحجم في الفترة 2023 - 2029 (مقارنةً بالمرحلة الثانية من برنامج تخطيط القوى العاملة)</t>
  </si>
  <si>
    <t>تقديم تبريرات لأي تغييرات متعلقة بالوتيرة/النسبة (مقارنةً بالمرحلة الثانية من برنامج تخطيط القوى العاملة)</t>
  </si>
  <si>
    <t>تقديم تبريرات لأي تغييرات في الوحدة (مقارنةً بالمرحلة الثانية من برنامج تخطيط القوى العاملة)</t>
  </si>
  <si>
    <t>دقائق</t>
  </si>
  <si>
    <t>أيام</t>
  </si>
  <si>
    <t>عدد الموظفين/الوحدة</t>
  </si>
  <si>
    <t>الوقت/ النسبة</t>
  </si>
  <si>
    <t>المدة/النسبة</t>
  </si>
  <si>
    <t>Assumptions</t>
  </si>
  <si>
    <t>General Assumptions</t>
  </si>
  <si>
    <t>Duration</t>
  </si>
  <si>
    <t>Comments</t>
  </si>
  <si>
    <t>Days</t>
  </si>
  <si>
    <t>Weeks</t>
  </si>
  <si>
    <t>Hours</t>
  </si>
  <si>
    <t>%</t>
  </si>
  <si>
    <t>Minutes</t>
  </si>
  <si>
    <t>النتائج</t>
  </si>
  <si>
    <t>أيام العمل في الأسبوع</t>
  </si>
  <si>
    <t>أيام العمل في السنة</t>
  </si>
  <si>
    <t>ساعات العمل العادية في اليوم</t>
  </si>
  <si>
    <t>ساعات العمل العادية في الأسبوع</t>
  </si>
  <si>
    <t>ساعات العمل في شهر رمضان المبارك في اليوم</t>
  </si>
  <si>
    <t>أسابيع شهر رمضان المبارك</t>
  </si>
  <si>
    <t>إجازة عيد الفطر</t>
  </si>
  <si>
    <t>إجازة عيد الأضحى</t>
  </si>
  <si>
    <t>اليوم الوطني</t>
  </si>
  <si>
    <t>يوم الرياضة الوطني</t>
  </si>
  <si>
    <t>الإجازات السنوية</t>
  </si>
  <si>
    <t>الإجازات المرضية</t>
  </si>
  <si>
    <t>معدل الإنتاجية</t>
  </si>
  <si>
    <t>ساعات العمل المُعدِّلة في السنة</t>
  </si>
  <si>
    <t>دقائق العمل المُعدِّلة في السنة</t>
  </si>
  <si>
    <t>أيام العمل المُعدِّلة في السنة</t>
  </si>
  <si>
    <t>ساعات العمل العادية في السنة (من دون احتساب شهر رمضان)</t>
  </si>
  <si>
    <t>ساعات العمل العادية في السنة (مع احتساب شهر رمضان)</t>
  </si>
  <si>
    <t>ساعات العمل العادية في اليوم (مع احتساب شهر رمضان)</t>
  </si>
  <si>
    <t>ساعات العمل بعد اقتطاع الإجازات</t>
  </si>
  <si>
    <t>الإجازات السنوية (بالساعة)</t>
  </si>
  <si>
    <t>الإجازات المرضية (بالساعة)</t>
  </si>
  <si>
    <t>ساعات العمل بعد اقتطاع الإجازات السنوية والمرضية</t>
  </si>
  <si>
    <t>ساعات العمل في شهر رمضان المبارك (كامل الشهر)</t>
  </si>
  <si>
    <t>تكرار</t>
  </si>
  <si>
    <t>نسبة</t>
  </si>
  <si>
    <t>اختيار "النسبة" أو "التكرار". يُنصح في معظم الحالات باختيار طريقة الوتيرة للحساب. * للمزيد من المعلومات ، يرجى الرجوع إلى "أدلة مراجعة وتحديث محركات عبء العمل"</t>
  </si>
  <si>
    <t>وزارة البلدية</t>
  </si>
  <si>
    <t>وكيل الوزارة المساعد لشؤون الخدمات المشتركة</t>
  </si>
  <si>
    <t xml:space="preserve">مكتب المدير </t>
  </si>
  <si>
    <t>إدارة الموارد البشرية</t>
  </si>
  <si>
    <t xml:space="preserve">قسم الرواتب والاجور </t>
  </si>
  <si>
    <t xml:space="preserve">قسم شؤون الموظفين </t>
  </si>
  <si>
    <t>إدارة الموارد البشرية (وحدة الجوازات)</t>
  </si>
  <si>
    <t>قسم الرواتب  (المعاملات الذاتية سيدات)</t>
  </si>
  <si>
    <t>مساعد مدير إدارة الموارد البشرية</t>
  </si>
  <si>
    <t xml:space="preserve"> اقفال الرواتب الشهرية لموظفى الوزارة ( اعداد و مراجعة)</t>
  </si>
  <si>
    <t xml:space="preserve"> اقفال ملاحق الرواتب الشهرية لموظفى الوزارة ( اعداد و مراجعة)</t>
  </si>
  <si>
    <t xml:space="preserve"> اعداد مشروع موازنة الباب الأول ( الرواتب و الأجور ) </t>
  </si>
  <si>
    <t xml:space="preserve">الطلبات المتممة لاعتماد مشروع الموازنة و الاجتماعات المتعلقة بها </t>
  </si>
  <si>
    <t xml:space="preserve">عملية تسويات مستحقات نهاية الخدمة </t>
  </si>
  <si>
    <t>تذاكر سفر للموظفين</t>
  </si>
  <si>
    <t>معاملات المهمات الرسمية</t>
  </si>
  <si>
    <t xml:space="preserve">معاملات السلف </t>
  </si>
  <si>
    <t>معاملات  المنح</t>
  </si>
  <si>
    <t xml:space="preserve">التدقيق على التعيينات </t>
  </si>
  <si>
    <t>معاملات تقاعد القطريين</t>
  </si>
  <si>
    <t>معاملات الإسكان الحكومي ( تغيير و تخصيص و تسليم ) و مايترتب عليها من اثار مالية</t>
  </si>
  <si>
    <t>طلبات سندات الصرف</t>
  </si>
  <si>
    <t xml:space="preserve"> العمل الإضافي ( نقدي - تعويضى )</t>
  </si>
  <si>
    <t>استقطاعات المحاكم الشهرية</t>
  </si>
  <si>
    <t>تنفيذ كشوف الترقيات و تعديل الأوضاع</t>
  </si>
  <si>
    <t>التدقيق على الادخالات بنظام الساب</t>
  </si>
  <si>
    <t>اعداد طلبات المناقلات و التعزيزات الخاصة بموازنة الباب الأول ( الرواتب و الأجور )</t>
  </si>
  <si>
    <t xml:space="preserve">بدلات الندب الخارجي </t>
  </si>
  <si>
    <t xml:space="preserve">الجزاءات التأديبية و الاحكام القضائية </t>
  </si>
  <si>
    <t xml:space="preserve">مراجعة ادخالات الاجازات الخاصة و الأثر المالي الناتج عنها </t>
  </si>
  <si>
    <t>دراسة تغيير الحالة الاجتماعية و ما يترتب عليها من اثار مالية</t>
  </si>
  <si>
    <t>تنفيذ وإدخال جميع أنواع الاجازات عن طريق برنامج sap</t>
  </si>
  <si>
    <t>اعداد كتب طلبات تخفيف ساعات العمل للجنه الطبيه  وكتب اخطار الإدارات في حال الموافقه واضافة ساعات التخفيف في برنامج sap</t>
  </si>
  <si>
    <t>اعداد كتب طلبات رعاية الأبناء والوالدين للجنه الطبيه ومخاطبة الإدارات المعنيه في حال موافقة سعادة الوزير واضافة الاجازة على برنامج sap</t>
  </si>
  <si>
    <t>اعداد كتب تحديد مدى صلاحية العمل للجنه الطبية ومخاطبة الإدارات المعنيه</t>
  </si>
  <si>
    <t>تنفيذ إجازة الوضع واضافة ساعات الرضاعه على برنامج sap</t>
  </si>
  <si>
    <t xml:space="preserve">اعداد كتب الاجازات المرضية للجنه الطبيه </t>
  </si>
  <si>
    <t>اعداد كشوف مرافق مريض+ علاج بالخارج</t>
  </si>
  <si>
    <t>تنفيذ كشوف الغياب</t>
  </si>
  <si>
    <t>تنفيذ العودات وإزالة التجميد</t>
  </si>
  <si>
    <t>اعتماد الاجازات  المرضية ومنحة الاجازة على موقع موارد</t>
  </si>
  <si>
    <t>الرد على خدمة استفسر</t>
  </si>
  <si>
    <t xml:space="preserve">اجراء النقل الداخلي </t>
  </si>
  <si>
    <t xml:space="preserve">اجراء النقل الخارجي </t>
  </si>
  <si>
    <t>اجراء الندب الداخلي</t>
  </si>
  <si>
    <t xml:space="preserve">اجراء الندب الخارجي </t>
  </si>
  <si>
    <t xml:space="preserve">اصدار كشوف بالبيانات المطلوبة للادارات </t>
  </si>
  <si>
    <t xml:space="preserve">اجراءات الاستدعاء للخدمة الوطنية </t>
  </si>
  <si>
    <t xml:space="preserve">اجراء اصدار كشوفات ببوغ سن الستين </t>
  </si>
  <si>
    <t xml:space="preserve">اجراء كشوفات التذكير لانهاء الخدمة </t>
  </si>
  <si>
    <t>اجراء اصدار تقارير الحضور والانصراف </t>
  </si>
  <si>
    <t xml:space="preserve">الدعم الفني لتطبيق موارد للموظفين </t>
  </si>
  <si>
    <t xml:space="preserve">الدعم الفني لنظام  ساب للموظفين </t>
  </si>
  <si>
    <t xml:space="preserve">إضافة المسميات  الوظيفية  </t>
  </si>
  <si>
    <t xml:space="preserve">اعدد تقارير الاستراتجيات </t>
  </si>
  <si>
    <t>إعداد تقارير الترقيات الشهرية</t>
  </si>
  <si>
    <t>إعداد الاحصائيات وتحليل البيانات المتعلقة بشأن إجراءات (التعيين/الترقيات/تعديل الأوضاع)</t>
  </si>
  <si>
    <t xml:space="preserve">اجراء اللازم بشأن طلبات اجازات الامتحانات و استكمال ادراسة </t>
  </si>
  <si>
    <t>إجراءات طلبات الترشيح للبعثات الدراسية</t>
  </si>
  <si>
    <t>استكمال إجراءات التعيين للمبتعثين على خطة وزارى البلدية</t>
  </si>
  <si>
    <t xml:space="preserve">المراجعة والتدقيق على طلبات  تعديل الحالة الاجتماعية وبدل السكن والعلاوة الاجتماعية </t>
  </si>
  <si>
    <t>تنسيق خطة التوطين السنوية</t>
  </si>
  <si>
    <t>تنسيق خطة الابتعاث السنوية</t>
  </si>
  <si>
    <t>تحديد المسميات ونسب طبيعة العمل</t>
  </si>
  <si>
    <t>دراسة تعديل المسميات الوظيفية للموظفين ممن كانوا يشغلوا وظائف اشرافيه</t>
  </si>
  <si>
    <t>دراسة تعديل الوضع الوظيفي للموظفين غير القطريين</t>
  </si>
  <si>
    <t>دراسة تعديل المسميات الوظيفية للموظفين نتيجة تعديل التبعية الإدارية</t>
  </si>
  <si>
    <t>دراسة وتقييم وضع الموظفين الجدد</t>
  </si>
  <si>
    <t xml:space="preserve">اعداد مشروع الهيكل الوظيفي وجدول وصف وترتيب وتصنيف الوظائف </t>
  </si>
  <si>
    <t>دراسة ضم الخدمة السابقة للموظفين</t>
  </si>
  <si>
    <t>مقابلة شخصية للمرشحين للتعيين (قطريين)</t>
  </si>
  <si>
    <t>اعداد كتب استيعاب للمرشحين (قطريين)</t>
  </si>
  <si>
    <t>اعداد كتب مباشرة عمل للموظفين الجدد (قطريين)</t>
  </si>
  <si>
    <t>متابعة منصة التوظيف كوادر والعمل على تحديث البيانات (قطريين)</t>
  </si>
  <si>
    <t>اعداد كتب الحاق/ استيعاب ومباشرة عمل (قطريين)</t>
  </si>
  <si>
    <t>اعداد نماذج ادخال بيانات للموظفين الجدد (قطريين)</t>
  </si>
  <si>
    <t>اعداد نماذج تقييم الدرجة المالية للموظفين الجدد ذوي الخبرة العملية السابقة (قطريين)</t>
  </si>
  <si>
    <t>اعداد كتب اعتذار عن وظيفة (قطريين)</t>
  </si>
  <si>
    <t>اعداد كتب إحلال موظف قطري بديل عن موظف غير قطري.</t>
  </si>
  <si>
    <t>اعداد كتب مباشرة عمل - احلال.</t>
  </si>
  <si>
    <t>اعداد كشوفات تعيين جديدة (قطريين)</t>
  </si>
  <si>
    <t>اعداد كتب البنك للموظفين الجدد (قطريين)</t>
  </si>
  <si>
    <t>اعداد كتب الفحص الطبي والأدلة للموظفين الجدد (قطريين)</t>
  </si>
  <si>
    <t>ارسال كتاب ترشيح للتقييم (غير قطريين)</t>
  </si>
  <si>
    <t>ارسال ايميل في حال وجود شاغر من عدمه (غير قطريين)</t>
  </si>
  <si>
    <t>اعداد رد للإدارة في حال عدم توفر شاغر او توطين او غير وارد بالهيكل الوظيفي (غير قطريين)</t>
  </si>
  <si>
    <t>في حال وجود شاغر إضافته لكشف التعيينات (غير قطريين)</t>
  </si>
  <si>
    <t>في حال عدم وجود شاغر إضافته لكشف الاستحداث (غير قطريين)</t>
  </si>
  <si>
    <t>في حال وجود نقص أي أوراق/  مخاطبة الإدارة لطلب النواقص (غير قطريين)</t>
  </si>
  <si>
    <t>اعداد كتاب لديوان الخدمة المدنية والتطوير الحكومي للاستحداث (غير قطريين)</t>
  </si>
  <si>
    <t>في حال موافقة ديوان الخدمة للاستحداث ارسال كتاب للسيد وكيل الوزارة لموافقة سعادة الوزير على التعيين (غير قطيريين)</t>
  </si>
  <si>
    <t>في حال عدم موافقة ديوان الخدمة / اعداد رد للإدارة / البلدية لعدم موافقة ديوان الخدمة المدنية والتطوير الحكومي (غير قطريين)</t>
  </si>
  <si>
    <t>اعداد كتاب للسيد وكيل الوزارة لموافقة سعادة الوزير على التعيين (غير قطريين)</t>
  </si>
  <si>
    <t>في حال موافقة سعادة الوزير اعداد عرض وظيفي (للوظائف التخصصية والفنية) (غير قطريين)</t>
  </si>
  <si>
    <t>اعداد كتاب ترشيح وادلة وفحص طبي (غير قطريين)</t>
  </si>
  <si>
    <t>شهادة لمن يهمه الامر للبنك (غير قطريين)</t>
  </si>
  <si>
    <t>العقد الوظيفي - وكتاب للإدارة / البلدية (غير قطريين)</t>
  </si>
  <si>
    <t>العقد الوظيفي- وكتاب للسيد وكيل الوزارة المساعد لشؤون الخدمات المشتركة (العقود الفنية و التخصصية) (غير قطريين)</t>
  </si>
  <si>
    <t>نموذج ادخال بيانات (غير قطريين)</t>
  </si>
  <si>
    <t>التدقيق على نموذج ادخال البيانات (غير قطريين)</t>
  </si>
  <si>
    <t>تعديل الوضع الوظيفي للموظف بناء تغير مؤهل علمي</t>
  </si>
  <si>
    <t>القيام بعمل افادة بشان تعديل التبعية الاداية</t>
  </si>
  <si>
    <t xml:space="preserve">اعداد كتاب البصمة </t>
  </si>
  <si>
    <t>مخاطبة الجهة في حالة التعديل</t>
  </si>
  <si>
    <t xml:space="preserve">عمل بشان تعديل اسم الموظف وتاريخ الميلاد </t>
  </si>
  <si>
    <t xml:space="preserve">ادخال البيانات في حالة تعديل المسمى/  وتبعية الإدارية / والمؤهل العلمي </t>
  </si>
  <si>
    <t xml:space="preserve">اعداد كتاب بشان صرف بدل الإعاقة </t>
  </si>
  <si>
    <t xml:space="preserve">عمل كتاب لمخاطبة الجهات بشان النواقص </t>
  </si>
  <si>
    <t>اعددد كشوف  لوكيل الوزارة بشان تغيير المسميات الوظيفية وتعديل التبعية (للموظفين الوزارة القطريين والغير قطريين )</t>
  </si>
  <si>
    <t xml:space="preserve">عمل كشوف لمخاطبات السياسات بعد تغيير المسميات الوظيفية </t>
  </si>
  <si>
    <t xml:space="preserve">افادة تعديل نسبة طبيعة العمل بعد الحصول على صفة الضبط القضائي </t>
  </si>
  <si>
    <t>عمل كتاب بشان صرف العلاوة الاشرافية وإيقاف صرف العلاوة الاشرافية واعداد كتاب لوكيل</t>
  </si>
  <si>
    <t>الاشتراك في تنسيق وكتابة بطاقات الوصف الوظيفي</t>
  </si>
  <si>
    <t>ادحال الانتداب الداخلي والخارجي  على نظام الساب</t>
  </si>
  <si>
    <t>ادخال النقل الداخلي على نظام الساب</t>
  </si>
  <si>
    <t>ادخال الضبطية القضائية على نظام الساب</t>
  </si>
  <si>
    <t>ادخال القرارات الوزارية على نظام الساب</t>
  </si>
  <si>
    <t>ادخال ضم الخدمة بعد موافقة إدارة سياسا ت الموارد البشرية واحتساب الاقدمية  في نظام الساب</t>
  </si>
  <si>
    <t>التنسيق  مع الموظفين بشان تسجيل او عدم الحضور دورة التدريبية + مخاطبة  إدارة التدريب</t>
  </si>
  <si>
    <t xml:space="preserve">تعديل الحالة الاجتماعية في حالة تحديث البيانات </t>
  </si>
  <si>
    <t xml:space="preserve">عمل كتاب الأدلة الجنائية </t>
  </si>
  <si>
    <t xml:space="preserve">عمل افاده بشان صرف بدل المخاطر </t>
  </si>
  <si>
    <t xml:space="preserve">تثبيت الموظفين الجدد </t>
  </si>
  <si>
    <t xml:space="preserve">مد فترة اختبار للموظفين </t>
  </si>
  <si>
    <t xml:space="preserve">التدقيق في الحالات الضرورية على بعض التعينات </t>
  </si>
  <si>
    <t>في الأحيان تدريب الموظفين الجدد</t>
  </si>
  <si>
    <t xml:space="preserve">تدقيق على  تنفيذ  الترقيات  على نظام الساب </t>
  </si>
  <si>
    <t>ادخال تقييم الأداء  والتظلمات عن التقييم  للموظفين</t>
  </si>
  <si>
    <t xml:space="preserve">افادة بشان استرجاع الرواتب </t>
  </si>
  <si>
    <t>اعداد افادة للسيد مدير إدارة الموار البشرية.</t>
  </si>
  <si>
    <t>كتب تخصيص سكن حكومي</t>
  </si>
  <si>
    <t xml:space="preserve">كتب تغيير سكن حكومي </t>
  </si>
  <si>
    <t xml:space="preserve">كتب صيانة سكن حكومي </t>
  </si>
  <si>
    <t xml:space="preserve">كتب تمديد البقاء في السكن </t>
  </si>
  <si>
    <t xml:space="preserve">كتب تسليم سكن </t>
  </si>
  <si>
    <t xml:space="preserve">كتب صرف بدل اثاث </t>
  </si>
  <si>
    <t xml:space="preserve">كتب الغاء السكن </t>
  </si>
  <si>
    <t xml:space="preserve">نموذج بنك التنمية </t>
  </si>
  <si>
    <t xml:space="preserve">كتب فرق صرفية كبار موظفين </t>
  </si>
  <si>
    <t xml:space="preserve">كتب اخطار مراجعة  </t>
  </si>
  <si>
    <t xml:space="preserve">كتب ترشيح سكن حكومي </t>
  </si>
  <si>
    <t xml:space="preserve">نموذج انهاء خدمة ( قطريين ) </t>
  </si>
  <si>
    <t>نموذج انهاء خدمة ( غير القطريين )</t>
  </si>
  <si>
    <t>مراجعة الإسكان الحكومي بشان طلبات الموظفين</t>
  </si>
  <si>
    <t>متابعة حضور وانصراف الموظفين</t>
  </si>
  <si>
    <t xml:space="preserve">عملية تقييم الاداء السنوي للموظفين </t>
  </si>
  <si>
    <t xml:space="preserve">حل  مشاكل الموظفين التقنيه المتعلقة بنظام موارد </t>
  </si>
  <si>
    <t>متابعة طلبات الصلاحيات التقنيه على مستوى الوزارة </t>
  </si>
  <si>
    <t xml:space="preserve">عملية التظلمات من تقييم الاداء </t>
  </si>
  <si>
    <t>إجراءات تفعيل وإعادة تفعيل البصمة</t>
  </si>
  <si>
    <t>لجنة التظلمات الخاصة بموظفي الوزارة</t>
  </si>
  <si>
    <t>مراجعة وحفظ وأرشفة ملفات وسجلات الموظفين</t>
  </si>
  <si>
    <t>إدارة ومعالجة طلبات نهاية التوظيف والتخليص</t>
  </si>
  <si>
    <t>مراجعة إدارة الجوازات لتجديد البطاقات الشخصية (الاقامات)</t>
  </si>
  <si>
    <t>تعديل البيانات الشخصية للبطاقات الموظفين (تحديث بيانات  رقم جواز ,الصورة الشخصية )</t>
  </si>
  <si>
    <t xml:space="preserve">الغاء الاقامات للموظفين المنتهية مهامهم </t>
  </si>
  <si>
    <t>إعداد الافادات الشخصة للموظفين (المتعلقة بتجديد الاقامات للعوائل ، والاستقدام ،الزيارات )</t>
  </si>
  <si>
    <t>إفادات متعلقة في بدل تالف ، تغيير مسميات ، جنسيات ، إضافة مولولد ،إضاعة جواز، عودة مقيم   ( الموجهة لادارة الجوازات العامة )</t>
  </si>
  <si>
    <t>مراجعة الأدلة الجنائية (من اجل الوقوف على تعثر وتاخر ومعرفة سبب رفض شهادة حسن السيرة والسلوك )</t>
  </si>
  <si>
    <t xml:space="preserve">توجيه الخطابات والرسائل عبر الساب للأشخاص المنتهية خدماتهن </t>
  </si>
  <si>
    <t xml:space="preserve">الافادات المطلوب بشأن نقل الكفالة الى خارج الوزارة </t>
  </si>
  <si>
    <t xml:space="preserve">اصدار تأشيرات رسمية للوزارة للمعارض واالمؤتمرات </t>
  </si>
  <si>
    <t xml:space="preserve">مراجعة وزارة العمل والشؤون الاجتماعية لمراجعة ملفات نقل الكفالة للوزارة </t>
  </si>
  <si>
    <t>إدارة طلبات التحويل الداخلية (بسيطة)</t>
  </si>
  <si>
    <t>إدارة طلبات التحويل الداخلية (المعقدة)</t>
  </si>
  <si>
    <t>طلب المستندات وإعداد ملف المرشح</t>
  </si>
  <si>
    <t>إجراء فحص الخلفية الأمنية للمرشحين المختارين</t>
  </si>
  <si>
    <t>تنسيق الفحص الطبي للمرشحين المختارين</t>
  </si>
  <si>
    <t>إعداد وثائق توظيف المرشحين (خطابات الموافقة والانضمام ، عقد العمل ، اتفاقية عدم الإفشاء ... إلخ)</t>
  </si>
  <si>
    <t>إرسال تفاصيل الموظفين الجدد إلى النظام الأساسي الداخلي ERP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</si>
</sst>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_(* #,##0.0_);_(* \(#,##0.0\);_(* &quot;-&quot;??_);_(@_)"/>
    <numFmt numFmtId="166" formatCode="0.0"/>
    <numFmt numFmtId="167" formatCode="[$-F800]dddd\,\ mmmm\ dd\,\ yyyy"/>
  </numFmts>
  <fonts count="47" x14ac:knownFonts="1">
    <font>
      <sz val="11"/>
      <color theme="1"/>
      <name val="Calibri"/>
      <family val="2"/>
      <scheme val="minor"/>
    </font>
    <font>
      <sz val="11"/>
      <color theme="1"/>
      <name val="Calibri"/>
      <family val="2"/>
      <scheme val="minor"/>
    </font>
    <font>
      <b/>
      <sz val="11"/>
      <color theme="3"/>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1"/>
      <color rgb="FF9A1C1F"/>
      <name val="Calibri"/>
      <family val="2"/>
      <scheme val="minor"/>
    </font>
    <font>
      <sz val="11"/>
      <color rgb="FF275D38"/>
      <name val="Calibri"/>
      <family val="2"/>
      <scheme val="minor"/>
    </font>
    <font>
      <sz val="11"/>
      <color rgb="FF965D00"/>
      <name val="Calibri"/>
      <family val="2"/>
      <scheme val="minor"/>
    </font>
    <font>
      <b/>
      <sz val="11"/>
      <color rgb="FF565656"/>
      <name val="Calibri"/>
      <family val="2"/>
      <scheme val="minor"/>
    </font>
    <font>
      <b/>
      <sz val="11"/>
      <color rgb="FFFF8C00"/>
      <name val="Calibri"/>
      <family val="2"/>
      <scheme val="minor"/>
    </font>
    <font>
      <i/>
      <sz val="11"/>
      <color rgb="FF949494"/>
      <name val="Calibri"/>
      <family val="2"/>
      <scheme val="minor"/>
    </font>
    <font>
      <b/>
      <sz val="15"/>
      <color theme="4"/>
      <name val="Calibri"/>
      <family val="2"/>
      <scheme val="minor"/>
    </font>
    <font>
      <b/>
      <sz val="13"/>
      <color theme="5"/>
      <name val="Calibri"/>
      <family val="2"/>
      <scheme val="minor"/>
    </font>
    <font>
      <sz val="11"/>
      <color theme="4"/>
      <name val="Calibri"/>
      <family val="2"/>
      <scheme val="minor"/>
    </font>
    <font>
      <sz val="11"/>
      <color rgb="FFFF8C00"/>
      <name val="Calibri"/>
      <family val="2"/>
      <scheme val="minor"/>
    </font>
    <font>
      <b/>
      <sz val="16"/>
      <color theme="0"/>
      <name val="Calibri"/>
      <family val="2"/>
      <scheme val="major"/>
    </font>
    <font>
      <sz val="11"/>
      <color theme="1"/>
      <name val="Calibri"/>
      <family val="2"/>
      <scheme val="major"/>
    </font>
    <font>
      <sz val="11"/>
      <name val="Calibri"/>
      <family val="2"/>
      <scheme val="major"/>
    </font>
    <font>
      <b/>
      <sz val="12"/>
      <name val="Calibri"/>
      <family val="2"/>
      <scheme val="major"/>
    </font>
    <font>
      <i/>
      <sz val="11"/>
      <name val="Calibri"/>
      <family val="2"/>
      <scheme val="major"/>
    </font>
    <font>
      <sz val="10"/>
      <name val="Calibri"/>
      <family val="2"/>
      <scheme val="major"/>
    </font>
    <font>
      <sz val="10"/>
      <color theme="1"/>
      <name val="Calibri"/>
      <family val="2"/>
      <scheme val="major"/>
    </font>
    <font>
      <b/>
      <sz val="12"/>
      <color theme="0"/>
      <name val="Calibri"/>
      <family val="2"/>
      <scheme val="major"/>
    </font>
    <font>
      <b/>
      <sz val="14"/>
      <color theme="1"/>
      <name val="Calibri"/>
      <family val="2"/>
      <scheme val="major"/>
    </font>
    <font>
      <b/>
      <sz val="14"/>
      <name val="Calibri"/>
      <family val="2"/>
      <scheme val="major"/>
    </font>
    <font>
      <b/>
      <sz val="12"/>
      <color theme="1"/>
      <name val="Calibri"/>
      <family val="2"/>
      <scheme val="major"/>
    </font>
    <font>
      <b/>
      <sz val="16"/>
      <name val="Calibri"/>
      <family val="2"/>
      <scheme val="major"/>
    </font>
    <font>
      <b/>
      <sz val="16"/>
      <color theme="1"/>
      <name val="Calibri"/>
      <family val="2"/>
      <scheme val="major"/>
    </font>
    <font>
      <b/>
      <sz val="11"/>
      <color rgb="FF000000"/>
      <name val="Calibri"/>
      <family val="2"/>
      <scheme val="minor"/>
    </font>
    <font>
      <sz val="11"/>
      <color rgb="FF000000"/>
      <name val="Calibri"/>
      <family val="2"/>
      <scheme val="minor"/>
    </font>
    <font>
      <i/>
      <sz val="11"/>
      <color rgb="FFBFBFBF"/>
      <name val="Calibri"/>
      <family val="2"/>
      <scheme val="minor"/>
    </font>
    <font>
      <sz val="12"/>
      <color theme="0"/>
      <name val="Calibri"/>
      <family val="2"/>
      <scheme val="major"/>
    </font>
    <font>
      <b/>
      <sz val="14"/>
      <color theme="0"/>
      <name val="Calibri"/>
      <family val="2"/>
      <scheme val="major"/>
    </font>
    <font>
      <b/>
      <sz val="16"/>
      <color theme="0"/>
      <name val="Calibri"/>
      <family val="2"/>
      <scheme val="minor"/>
    </font>
    <font>
      <b/>
      <sz val="9"/>
      <color theme="0"/>
      <name val="Arial"/>
      <family val="2"/>
    </font>
    <font>
      <b/>
      <sz val="9"/>
      <color theme="1"/>
      <name val="Arial"/>
      <family val="2"/>
    </font>
    <font>
      <sz val="9"/>
      <color theme="1"/>
      <name val="Arial"/>
      <family val="2"/>
    </font>
    <font>
      <i/>
      <sz val="11"/>
      <color theme="1"/>
      <name val="Calibri"/>
      <family val="2"/>
      <scheme val="minor"/>
    </font>
    <font>
      <b/>
      <sz val="11"/>
      <name val="Arial"/>
      <family val="2"/>
    </font>
    <font>
      <sz val="10"/>
      <name val="Calibri"/>
      <family val="2"/>
      <scheme val="minor"/>
    </font>
    <font>
      <sz val="11"/>
      <name val="Calibri"/>
      <family val="2"/>
      <scheme val="major"/>
    </font>
    <font>
      <sz val="10"/>
      <name val="Calibri"/>
      <family val="2"/>
      <scheme val="major"/>
    </font>
    <font>
      <sz val="10"/>
      <color theme="1"/>
      <name val="Calibri"/>
      <family val="2"/>
      <scheme val="major"/>
    </font>
    <font>
      <sz val="11"/>
      <color theme="1"/>
      <name val="Calibri"/>
      <family val="2"/>
      <scheme val="major"/>
    </font>
    <font>
      <sz val="11"/>
      <name val="Calibri"/>
      <family val="2"/>
      <scheme val="minor"/>
    </font>
    <font>
      <sz val="10"/>
      <color theme="1"/>
      <name val="Calibri"/>
      <family val="2"/>
      <scheme val="minor"/>
    </font>
  </fonts>
  <fills count="43">
    <fill>
      <patternFill patternType="none"/>
    </fill>
    <fill>
      <patternFill patternType="gray125"/>
    </fill>
    <fill>
      <patternFill patternType="solid">
        <fgColor rgb="FFFFFFCC"/>
      </patternFill>
    </fill>
    <fill>
      <patternFill patternType="solid">
        <fgColor theme="7"/>
      </patternFill>
    </fill>
    <fill>
      <patternFill patternType="solid">
        <fgColor rgb="FFFFAEA6"/>
        <bgColor indexed="64"/>
      </patternFill>
    </fill>
    <fill>
      <patternFill patternType="solid">
        <fgColor rgb="FFADDFB3"/>
        <bgColor indexed="64"/>
      </patternFill>
    </fill>
    <fill>
      <patternFill patternType="solid">
        <fgColor rgb="FFFFE580"/>
        <bgColor indexed="64"/>
      </patternFill>
    </fill>
    <fill>
      <patternFill patternType="solid">
        <fgColor rgb="FF57C67A"/>
        <bgColor indexed="64"/>
      </patternFill>
    </fill>
    <fill>
      <patternFill patternType="solid">
        <fgColor rgb="FFC4EAC9"/>
        <bgColor indexed="64"/>
      </patternFill>
    </fill>
    <fill>
      <patternFill patternType="solid">
        <fgColor rgb="FFB3B3B3"/>
        <bgColor indexed="64"/>
      </patternFill>
    </fill>
    <fill>
      <patternFill patternType="solid">
        <fgColor rgb="FF14853D"/>
        <bgColor indexed="64"/>
      </patternFill>
    </fill>
    <fill>
      <patternFill patternType="solid">
        <fgColor rgb="FF00AC41"/>
        <bgColor indexed="64"/>
      </patternFill>
    </fill>
    <fill>
      <patternFill patternType="solid">
        <fgColor rgb="FF0065AC"/>
        <bgColor indexed="64"/>
      </patternFill>
    </fill>
    <fill>
      <patternFill patternType="solid">
        <fgColor rgb="FF009DE0"/>
        <bgColor indexed="64"/>
      </patternFill>
    </fill>
    <fill>
      <patternFill patternType="solid">
        <fgColor rgb="FF3BB8F0"/>
        <bgColor indexed="64"/>
      </patternFill>
    </fill>
    <fill>
      <patternFill patternType="solid">
        <fgColor rgb="FF76D3FF"/>
        <bgColor indexed="64"/>
      </patternFill>
    </fill>
    <fill>
      <patternFill patternType="solid">
        <fgColor rgb="FF9FE0FF"/>
        <bgColor indexed="64"/>
      </patternFill>
    </fill>
    <fill>
      <patternFill patternType="solid">
        <fgColor rgb="FFF0F0F0"/>
        <bgColor indexed="64"/>
      </patternFill>
    </fill>
    <fill>
      <patternFill patternType="solid">
        <fgColor rgb="FF949494"/>
        <bgColor indexed="64"/>
      </patternFill>
    </fill>
    <fill>
      <patternFill patternType="solid">
        <fgColor rgb="FFE3E3E3"/>
        <bgColor indexed="64"/>
      </patternFill>
    </fill>
    <fill>
      <patternFill patternType="solid">
        <fgColor rgb="FFEBEBEB"/>
        <bgColor indexed="64"/>
      </patternFill>
    </fill>
    <fill>
      <patternFill patternType="solid">
        <fgColor rgb="FFF4F4F4"/>
        <bgColor indexed="64"/>
      </patternFill>
    </fill>
    <fill>
      <patternFill patternType="solid">
        <fgColor rgb="FFFFCA94"/>
        <bgColor indexed="64"/>
      </patternFill>
    </fill>
    <fill>
      <patternFill patternType="solid">
        <fgColor rgb="FF8E1837"/>
        <bgColor indexed="64"/>
      </patternFill>
    </fill>
    <fill>
      <patternFill patternType="solid">
        <fgColor theme="0"/>
        <bgColor indexed="64"/>
      </patternFill>
    </fill>
    <fill>
      <patternFill patternType="solid">
        <fgColor rgb="FFDF456D"/>
        <bgColor indexed="64"/>
      </patternFill>
    </fill>
    <fill>
      <patternFill patternType="solid">
        <fgColor rgb="FFF6C2D2"/>
        <bgColor indexed="64"/>
      </patternFill>
    </fill>
    <fill>
      <patternFill patternType="solid">
        <fgColor rgb="FFC7BFAC"/>
        <bgColor indexed="64"/>
      </patternFill>
    </fill>
    <fill>
      <patternFill patternType="solid">
        <fgColor rgb="FFECEAE3"/>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6"/>
        <bgColor indexed="64"/>
      </patternFill>
    </fill>
    <fill>
      <patternFill patternType="solid">
        <fgColor rgb="FFF2EBC4"/>
        <bgColor indexed="64"/>
      </patternFill>
    </fill>
    <fill>
      <patternFill patternType="solid">
        <fgColor theme="1"/>
        <bgColor indexed="64"/>
      </patternFill>
    </fill>
    <fill>
      <patternFill patternType="solid">
        <fgColor rgb="FFF2F2F2"/>
        <bgColor rgb="FF000000"/>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8A1538"/>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9D9D9"/>
        <bgColor indexed="64"/>
      </patternFill>
    </fill>
    <fill>
      <patternFill patternType="solid">
        <fgColor rgb="FFE7F0FF"/>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565656"/>
      </left>
      <right style="thin">
        <color rgb="FF565656"/>
      </right>
      <top style="thin">
        <color rgb="FF565656"/>
      </top>
      <bottom style="thin">
        <color rgb="FF565656"/>
      </bottom>
      <diagonal/>
    </border>
    <border>
      <left style="thick">
        <color rgb="FF565656"/>
      </left>
      <right style="thick">
        <color rgb="FF565656"/>
      </right>
      <top style="thick">
        <color rgb="FF565656"/>
      </top>
      <bottom style="thick">
        <color rgb="FF565656"/>
      </bottom>
      <diagonal/>
    </border>
    <border>
      <left/>
      <right/>
      <top/>
      <bottom style="medium">
        <color theme="1"/>
      </bottom>
      <diagonal/>
    </border>
    <border>
      <left/>
      <right/>
      <top/>
      <bottom style="double">
        <color rgb="FFFF8C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auto="1"/>
      </right>
      <top/>
      <bottom style="thin">
        <color auto="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theme="0"/>
      </left>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39">
    <xf numFmtId="0" fontId="0" fillId="0" borderId="0"/>
    <xf numFmtId="0" fontId="12" fillId="0" borderId="1" applyNumberFormat="0" applyFill="0" applyAlignment="0" applyProtection="0"/>
    <xf numFmtId="0" fontId="13" fillId="0" borderId="2" applyNumberFormat="0" applyFill="0" applyAlignment="0" applyProtection="0"/>
    <xf numFmtId="0" fontId="2" fillId="0" borderId="7" applyNumberFormat="0" applyFill="0" applyAlignment="0" applyProtection="0"/>
    <xf numFmtId="0" fontId="7" fillId="5" borderId="0" applyNumberFormat="0" applyBorder="0" applyAlignment="0" applyProtection="0"/>
    <xf numFmtId="0" fontId="6" fillId="4" borderId="0" applyNumberFormat="0" applyBorder="0" applyAlignment="0" applyProtection="0"/>
    <xf numFmtId="0" fontId="8" fillId="6" borderId="0" applyNumberFormat="0" applyBorder="0" applyAlignment="0" applyProtection="0"/>
    <xf numFmtId="0" fontId="14" fillId="22" borderId="3" applyNumberFormat="0" applyAlignment="0" applyProtection="0"/>
    <xf numFmtId="0" fontId="9" fillId="17" borderId="5" applyNumberFormat="0" applyAlignment="0" applyProtection="0"/>
    <xf numFmtId="0" fontId="10" fillId="17" borderId="5" applyNumberFormat="0" applyAlignment="0" applyProtection="0"/>
    <xf numFmtId="0" fontId="15" fillId="0" borderId="8" applyNumberFormat="0" applyFill="0" applyAlignment="0" applyProtection="0"/>
    <xf numFmtId="0" fontId="3" fillId="18" borderId="6" applyNumberFormat="0" applyAlignment="0" applyProtection="0"/>
    <xf numFmtId="0" fontId="4" fillId="0" borderId="0" applyNumberFormat="0" applyFill="0" applyBorder="0" applyAlignment="0" applyProtection="0"/>
    <xf numFmtId="0" fontId="1" fillId="2" borderId="4" applyNumberFormat="0" applyFont="0" applyAlignment="0" applyProtection="0"/>
    <xf numFmtId="0" fontId="11" fillId="0" borderId="0" applyNumberFormat="0" applyFill="0" applyBorder="0" applyAlignment="0" applyProtection="0"/>
    <xf numFmtId="0" fontId="1" fillId="14" borderId="0" applyNumberFormat="0" applyBorder="0" applyAlignment="0" applyProtection="0"/>
    <xf numFmtId="0" fontId="5" fillId="13" borderId="0" applyNumberFormat="0" applyBorder="0" applyAlignment="0" applyProtection="0"/>
    <xf numFmtId="0" fontId="5" fillId="12"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1" fillId="14"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9" borderId="0" applyNumberFormat="0" applyBorder="0" applyAlignment="0" applyProtection="0"/>
    <xf numFmtId="0" fontId="1" fillId="3" borderId="0" applyNumberFormat="0" applyBorder="0" applyAlignment="0" applyProtection="0"/>
    <xf numFmtId="0" fontId="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7"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1" fillId="8"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43" fontId="1" fillId="0" borderId="0" applyFont="0" applyFill="0" applyBorder="0" applyAlignment="0" applyProtection="0"/>
    <xf numFmtId="164" fontId="1" fillId="0" borderId="0"/>
    <xf numFmtId="9" fontId="1" fillId="0" borderId="0" applyFont="0" applyFill="0" applyBorder="0" applyAlignment="0" applyProtection="0"/>
    <xf numFmtId="0" fontId="1" fillId="0" borderId="0" applyProtection="0"/>
    <xf numFmtId="43" fontId="1" fillId="0" borderId="0" applyFont="0" applyFill="0" applyBorder="0" applyAlignment="0" applyProtection="0"/>
  </cellStyleXfs>
  <cellXfs count="166">
    <xf numFmtId="0" fontId="0" fillId="0" borderId="0" xfId="0" applyAlignment="1">
      <alignment readingOrder="2"/>
    </xf>
    <xf numFmtId="0" fontId="17" fillId="0" borderId="0" xfId="0" applyFont="1" applyAlignment="1" applyProtection="1">
      <alignment readingOrder="2"/>
      <protection locked="0"/>
    </xf>
    <xf numFmtId="0" fontId="24" fillId="30" borderId="17" xfId="0" applyFont="1" applyFill="1" applyBorder="1" applyAlignment="1" applyProtection="1">
      <alignment horizontal="center" vertical="center" readingOrder="2"/>
      <protection locked="0"/>
    </xf>
    <xf numFmtId="0" fontId="23" fillId="30" borderId="17" xfId="0" applyFont="1" applyFill="1" applyBorder="1" applyAlignment="1" applyProtection="1">
      <alignment horizontal="center" vertical="center" wrapText="1" readingOrder="2"/>
      <protection locked="0"/>
    </xf>
    <xf numFmtId="0" fontId="20" fillId="29" borderId="14" xfId="0" applyFont="1" applyFill="1" applyBorder="1" applyAlignment="1" applyProtection="1">
      <alignment horizontal="center" vertical="center" wrapText="1" readingOrder="2"/>
      <protection locked="0"/>
    </xf>
    <xf numFmtId="0" fontId="20" fillId="29" borderId="17" xfId="0" applyFont="1" applyFill="1" applyBorder="1" applyAlignment="1" applyProtection="1">
      <alignment horizontal="center" vertical="center" wrapText="1" readingOrder="2"/>
      <protection locked="0"/>
    </xf>
    <xf numFmtId="0" fontId="20" fillId="29" borderId="12" xfId="0" applyFont="1" applyFill="1" applyBorder="1" applyAlignment="1" applyProtection="1">
      <alignment horizontal="center" vertical="center" wrapText="1" readingOrder="2"/>
      <protection locked="0"/>
    </xf>
    <xf numFmtId="0" fontId="20" fillId="30" borderId="17" xfId="0" applyFont="1" applyFill="1" applyBorder="1" applyAlignment="1" applyProtection="1">
      <alignment horizontal="center" vertical="center" wrapText="1" readingOrder="2"/>
      <protection locked="0"/>
    </xf>
    <xf numFmtId="0" fontId="21" fillId="30" borderId="17" xfId="0" applyFont="1" applyFill="1" applyBorder="1" applyAlignment="1" applyProtection="1">
      <alignment horizontal="center" vertical="center" readingOrder="2"/>
      <protection locked="0"/>
    </xf>
    <xf numFmtId="0" fontId="22" fillId="30" borderId="17" xfId="0" applyFont="1" applyFill="1" applyBorder="1" applyAlignment="1" applyProtection="1">
      <alignment horizontal="center" vertical="center" readingOrder="2"/>
      <protection locked="0"/>
    </xf>
    <xf numFmtId="0" fontId="20" fillId="29" borderId="11" xfId="0" applyFont="1" applyFill="1" applyBorder="1" applyAlignment="1" applyProtection="1">
      <alignment horizontal="center" vertical="center" wrapText="1" readingOrder="2"/>
      <protection locked="0"/>
    </xf>
    <xf numFmtId="0" fontId="20" fillId="29" borderId="16" xfId="0" applyFont="1" applyFill="1" applyBorder="1" applyAlignment="1" applyProtection="1">
      <alignment vertical="center" wrapText="1" readingOrder="2"/>
      <protection locked="0"/>
    </xf>
    <xf numFmtId="165" fontId="22" fillId="34" borderId="13" xfId="35" applyNumberFormat="1" applyFont="1" applyFill="1" applyBorder="1" applyAlignment="1" applyProtection="1">
      <alignment horizontal="center" vertical="center" readingOrder="2"/>
      <protection locked="0"/>
    </xf>
    <xf numFmtId="2" fontId="22" fillId="34" borderId="11" xfId="35" applyNumberFormat="1" applyFont="1" applyFill="1" applyBorder="1" applyAlignment="1" applyProtection="1">
      <alignment horizontal="center" vertical="center" readingOrder="2"/>
      <protection locked="0"/>
    </xf>
    <xf numFmtId="0" fontId="22" fillId="34" borderId="9" xfId="0" applyFont="1" applyFill="1" applyBorder="1" applyAlignment="1" applyProtection="1">
      <alignment horizontal="center" vertical="center" readingOrder="2"/>
      <protection locked="0"/>
    </xf>
    <xf numFmtId="9" fontId="22" fillId="34" borderId="11" xfId="36" applyFont="1" applyFill="1" applyBorder="1" applyAlignment="1" applyProtection="1">
      <alignment horizontal="center" vertical="center" readingOrder="2"/>
      <protection locked="0"/>
    </xf>
    <xf numFmtId="165" fontId="22" fillId="34" borderId="11" xfId="35" applyNumberFormat="1" applyFont="1" applyFill="1" applyBorder="1" applyAlignment="1" applyProtection="1">
      <alignment horizontal="center" vertical="center" readingOrder="2"/>
      <protection locked="0"/>
    </xf>
    <xf numFmtId="0" fontId="29" fillId="35" borderId="19" xfId="0" applyFont="1" applyFill="1" applyBorder="1" applyAlignment="1">
      <alignment horizontal="right" vertical="center" readingOrder="2"/>
    </xf>
    <xf numFmtId="0" fontId="30" fillId="0" borderId="20" xfId="0" applyFont="1" applyBorder="1" applyAlignment="1">
      <alignment horizontal="right" vertical="center" readingOrder="2"/>
    </xf>
    <xf numFmtId="0" fontId="30" fillId="0" borderId="21" xfId="0" applyFont="1" applyBorder="1" applyAlignment="1">
      <alignment horizontal="right" vertical="center" readingOrder="2"/>
    </xf>
    <xf numFmtId="0" fontId="31" fillId="0" borderId="12" xfId="0" applyFont="1" applyBorder="1" applyAlignment="1">
      <alignment vertical="center" readingOrder="2"/>
    </xf>
    <xf numFmtId="0" fontId="30" fillId="0" borderId="14" xfId="0" applyFont="1" applyBorder="1" applyAlignment="1">
      <alignment horizontal="right" vertical="center" readingOrder="2"/>
    </xf>
    <xf numFmtId="0" fontId="31" fillId="0" borderId="22" xfId="0" applyFont="1" applyBorder="1" applyAlignment="1">
      <alignment vertical="center" readingOrder="2"/>
    </xf>
    <xf numFmtId="0" fontId="30" fillId="0" borderId="18" xfId="0" applyFont="1" applyBorder="1" applyAlignment="1">
      <alignment horizontal="right" vertical="center" readingOrder="2"/>
    </xf>
    <xf numFmtId="0" fontId="16" fillId="0" borderId="0" xfId="0" applyFont="1" applyAlignment="1" applyProtection="1">
      <alignment horizontal="center" vertical="center" readingOrder="2"/>
      <protection locked="0"/>
    </xf>
    <xf numFmtId="2" fontId="22" fillId="36" borderId="11" xfId="35" applyNumberFormat="1" applyFont="1" applyFill="1" applyBorder="1" applyAlignment="1" applyProtection="1">
      <alignment horizontal="center" vertical="center" readingOrder="2"/>
      <protection locked="0"/>
    </xf>
    <xf numFmtId="0" fontId="22" fillId="36" borderId="11" xfId="0" applyFont="1" applyFill="1" applyBorder="1" applyAlignment="1" applyProtection="1">
      <alignment horizontal="center" vertical="center" readingOrder="2"/>
      <protection locked="0"/>
    </xf>
    <xf numFmtId="0" fontId="23" fillId="25" borderId="15" xfId="0" applyFont="1" applyFill="1" applyBorder="1" applyAlignment="1" applyProtection="1">
      <alignment horizontal="center" vertical="center" wrapText="1" readingOrder="2"/>
      <protection locked="0"/>
    </xf>
    <xf numFmtId="0" fontId="16" fillId="24" borderId="0" xfId="0" applyFont="1" applyFill="1" applyAlignment="1" applyProtection="1">
      <alignment horizontal="left" vertical="center" readingOrder="2"/>
      <protection locked="0"/>
    </xf>
    <xf numFmtId="0" fontId="17" fillId="24" borderId="0" xfId="0" applyFont="1" applyFill="1" applyAlignment="1" applyProtection="1">
      <alignment readingOrder="2"/>
      <protection locked="0"/>
    </xf>
    <xf numFmtId="0" fontId="16" fillId="23" borderId="0" xfId="0" applyFont="1" applyFill="1" applyAlignment="1" applyProtection="1">
      <alignment vertical="center" readingOrder="2"/>
      <protection locked="0"/>
    </xf>
    <xf numFmtId="0" fontId="20" fillId="29" borderId="9" xfId="0" applyFont="1" applyFill="1" applyBorder="1" applyAlignment="1" applyProtection="1">
      <alignment vertical="center" wrapText="1" readingOrder="2"/>
      <protection locked="0"/>
    </xf>
    <xf numFmtId="0" fontId="20" fillId="29" borderId="10" xfId="0" applyFont="1" applyFill="1" applyBorder="1" applyAlignment="1" applyProtection="1">
      <alignment vertical="center" wrapText="1" readingOrder="2"/>
      <protection locked="0"/>
    </xf>
    <xf numFmtId="0" fontId="20" fillId="29" borderId="13" xfId="0" applyFont="1" applyFill="1" applyBorder="1" applyAlignment="1" applyProtection="1">
      <alignment vertical="center" wrapText="1" readingOrder="2"/>
      <protection locked="0"/>
    </xf>
    <xf numFmtId="0" fontId="16" fillId="23" borderId="23" xfId="0" applyFont="1" applyFill="1" applyBorder="1" applyAlignment="1" applyProtection="1">
      <alignment vertical="center" readingOrder="2"/>
      <protection locked="0"/>
    </xf>
    <xf numFmtId="0" fontId="20" fillId="29" borderId="16" xfId="0" applyFont="1" applyFill="1" applyBorder="1" applyAlignment="1" applyProtection="1">
      <alignment horizontal="center" vertical="center" wrapText="1" readingOrder="2"/>
      <protection locked="0"/>
    </xf>
    <xf numFmtId="0" fontId="17" fillId="31" borderId="13" xfId="0" applyFont="1" applyFill="1" applyBorder="1" applyAlignment="1" applyProtection="1">
      <alignment horizontal="center" vertical="center" readingOrder="2"/>
      <protection locked="0"/>
    </xf>
    <xf numFmtId="0" fontId="18" fillId="36" borderId="11" xfId="0" applyFont="1" applyFill="1" applyBorder="1" applyAlignment="1" applyProtection="1">
      <alignment horizontal="center" vertical="center" wrapText="1" readingOrder="2"/>
      <protection locked="0"/>
    </xf>
    <xf numFmtId="0" fontId="18" fillId="36" borderId="16" xfId="0" applyFont="1" applyFill="1" applyBorder="1" applyAlignment="1" applyProtection="1">
      <alignment horizontal="center" vertical="center" wrapText="1" readingOrder="2"/>
      <protection locked="0"/>
    </xf>
    <xf numFmtId="0" fontId="17" fillId="0" borderId="0" xfId="0" applyFont="1" applyAlignment="1" applyProtection="1">
      <alignment horizontal="center" readingOrder="2"/>
      <protection locked="0"/>
    </xf>
    <xf numFmtId="0" fontId="17" fillId="34" borderId="11" xfId="0" applyFont="1" applyFill="1" applyBorder="1" applyAlignment="1" applyProtection="1">
      <alignment horizontal="center" vertical="center" readingOrder="2"/>
      <protection locked="0"/>
    </xf>
    <xf numFmtId="0" fontId="17" fillId="34" borderId="9" xfId="0" applyFont="1" applyFill="1" applyBorder="1" applyAlignment="1" applyProtection="1">
      <alignment horizontal="center" vertical="center" readingOrder="2"/>
      <protection locked="0"/>
    </xf>
    <xf numFmtId="0" fontId="17" fillId="34" borderId="13" xfId="0" applyFont="1" applyFill="1" applyBorder="1" applyAlignment="1" applyProtection="1">
      <alignment horizontal="center" vertical="center" readingOrder="2"/>
      <protection locked="0"/>
    </xf>
    <xf numFmtId="0" fontId="20" fillId="29" borderId="11" xfId="0" applyFont="1" applyFill="1" applyBorder="1" applyAlignment="1" applyProtection="1">
      <alignment vertical="center" wrapText="1" readingOrder="2"/>
      <protection locked="0"/>
    </xf>
    <xf numFmtId="0" fontId="33" fillId="30" borderId="14" xfId="0" applyFont="1" applyFill="1" applyBorder="1" applyAlignment="1" applyProtection="1">
      <alignment vertical="center" readingOrder="2"/>
      <protection locked="0"/>
    </xf>
    <xf numFmtId="0" fontId="19" fillId="27" borderId="11" xfId="0" applyFont="1" applyFill="1" applyBorder="1" applyAlignment="1" applyProtection="1">
      <alignment horizontal="center" vertical="center" wrapText="1" readingOrder="2"/>
      <protection locked="0"/>
    </xf>
    <xf numFmtId="0" fontId="19" fillId="27" borderId="11" xfId="0" applyFont="1" applyFill="1" applyBorder="1" applyAlignment="1" applyProtection="1">
      <alignment horizontal="center" vertical="center" readingOrder="2"/>
      <protection locked="0"/>
    </xf>
    <xf numFmtId="0" fontId="23" fillId="32" borderId="11" xfId="0" applyFont="1" applyFill="1" applyBorder="1" applyAlignment="1" applyProtection="1">
      <alignment horizontal="center" vertical="center" readingOrder="2"/>
      <protection locked="0"/>
    </xf>
    <xf numFmtId="0" fontId="23" fillId="25" borderId="11" xfId="0" applyFont="1" applyFill="1" applyBorder="1" applyAlignment="1" applyProtection="1">
      <alignment horizontal="center" vertical="center" wrapText="1" readingOrder="2"/>
      <protection locked="0"/>
    </xf>
    <xf numFmtId="9" fontId="26" fillId="30" borderId="12" xfId="0" applyNumberFormat="1" applyFont="1" applyFill="1" applyBorder="1" applyAlignment="1" applyProtection="1">
      <alignment vertical="center" readingOrder="2"/>
      <protection locked="0"/>
    </xf>
    <xf numFmtId="0" fontId="0" fillId="0" borderId="0" xfId="0"/>
    <xf numFmtId="0" fontId="0" fillId="24" borderId="0" xfId="0" applyFill="1"/>
    <xf numFmtId="0" fontId="35" fillId="25" borderId="9" xfId="37" applyFont="1" applyFill="1" applyBorder="1" applyAlignment="1">
      <alignment horizontal="center" vertical="center"/>
    </xf>
    <xf numFmtId="0" fontId="35" fillId="25" borderId="10" xfId="37" applyFont="1" applyFill="1" applyBorder="1" applyAlignment="1">
      <alignment horizontal="center" vertical="center"/>
    </xf>
    <xf numFmtId="0" fontId="35" fillId="25" borderId="13" xfId="37" applyFont="1" applyFill="1" applyBorder="1" applyAlignment="1">
      <alignment horizontal="center" vertical="center"/>
    </xf>
    <xf numFmtId="0" fontId="36" fillId="24" borderId="0" xfId="37" applyFont="1" applyFill="1" applyAlignment="1">
      <alignment horizontal="center" vertical="center"/>
    </xf>
    <xf numFmtId="0" fontId="37" fillId="0" borderId="11" xfId="37" applyFont="1" applyBorder="1"/>
    <xf numFmtId="166" fontId="37" fillId="39" borderId="11" xfId="37" applyNumberFormat="1" applyFont="1" applyFill="1" applyBorder="1" applyAlignment="1">
      <alignment horizontal="center" vertical="center"/>
    </xf>
    <xf numFmtId="0" fontId="37" fillId="0" borderId="11" xfId="37" applyFont="1" applyBorder="1" applyAlignment="1">
      <alignment horizontal="center" vertical="center"/>
    </xf>
    <xf numFmtId="9" fontId="0" fillId="24" borderId="0" xfId="0" applyNumberFormat="1" applyFill="1" applyAlignment="1">
      <alignment horizontal="center"/>
    </xf>
    <xf numFmtId="167" fontId="38" fillId="24" borderId="0" xfId="0" applyNumberFormat="1" applyFont="1" applyFill="1" applyAlignment="1">
      <alignment horizontal="center"/>
    </xf>
    <xf numFmtId="0" fontId="37" fillId="40" borderId="11" xfId="37" applyFont="1" applyFill="1" applyBorder="1"/>
    <xf numFmtId="166" fontId="37" fillId="40" borderId="11" xfId="37" applyNumberFormat="1" applyFont="1" applyFill="1" applyBorder="1" applyAlignment="1">
      <alignment horizontal="center"/>
    </xf>
    <xf numFmtId="0" fontId="37" fillId="40" borderId="11" xfId="37" applyFont="1" applyFill="1" applyBorder="1" applyAlignment="1">
      <alignment horizontal="center" vertical="center"/>
    </xf>
    <xf numFmtId="166" fontId="37" fillId="40" borderId="11" xfId="37" applyNumberFormat="1" applyFont="1" applyFill="1" applyBorder="1" applyAlignment="1">
      <alignment horizontal="center" vertical="center"/>
    </xf>
    <xf numFmtId="9" fontId="37" fillId="39" borderId="11" xfId="36" applyFont="1" applyFill="1" applyBorder="1" applyAlignment="1">
      <alignment horizontal="center" vertical="center"/>
    </xf>
    <xf numFmtId="166" fontId="36" fillId="40" borderId="11" xfId="37" applyNumberFormat="1" applyFont="1" applyFill="1" applyBorder="1" applyAlignment="1" applyProtection="1">
      <alignment horizontal="center" vertical="center"/>
    </xf>
    <xf numFmtId="0" fontId="23" fillId="32" borderId="9" xfId="0" applyFont="1" applyFill="1" applyBorder="1" applyAlignment="1" applyProtection="1">
      <alignment horizontal="center" vertical="center" readingOrder="2"/>
      <protection locked="0"/>
    </xf>
    <xf numFmtId="0" fontId="20" fillId="29" borderId="20" xfId="0" applyFont="1" applyFill="1" applyBorder="1" applyAlignment="1" applyProtection="1">
      <alignment vertical="center" wrapText="1" readingOrder="2"/>
      <protection locked="0"/>
    </xf>
    <xf numFmtId="0" fontId="17" fillId="31" borderId="9" xfId="0" applyFont="1" applyFill="1" applyBorder="1" applyAlignment="1" applyProtection="1">
      <alignment horizontal="center" vertical="center" readingOrder="2"/>
      <protection locked="0"/>
    </xf>
    <xf numFmtId="0" fontId="17" fillId="0" borderId="17" xfId="0" applyFont="1" applyBorder="1" applyAlignment="1" applyProtection="1">
      <alignment readingOrder="2"/>
      <protection locked="0"/>
    </xf>
    <xf numFmtId="0" fontId="17" fillId="41" borderId="0" xfId="0" applyFont="1" applyFill="1" applyAlignment="1" applyProtection="1">
      <alignment readingOrder="2"/>
      <protection locked="0"/>
    </xf>
    <xf numFmtId="0" fontId="17" fillId="41" borderId="14" xfId="0" applyFont="1" applyFill="1" applyBorder="1" applyAlignment="1" applyProtection="1">
      <alignment readingOrder="2"/>
      <protection locked="0"/>
    </xf>
    <xf numFmtId="0" fontId="17" fillId="41" borderId="18" xfId="0" applyFont="1" applyFill="1" applyBorder="1" applyAlignment="1" applyProtection="1">
      <alignment readingOrder="2"/>
      <protection locked="0"/>
    </xf>
    <xf numFmtId="0" fontId="39" fillId="40" borderId="24" xfId="0" applyFont="1" applyFill="1" applyBorder="1" applyAlignment="1">
      <alignment horizontal="center" vertical="center" wrapText="1"/>
    </xf>
    <xf numFmtId="0" fontId="39" fillId="40" borderId="25" xfId="0" applyFont="1" applyFill="1" applyBorder="1" applyAlignment="1">
      <alignment horizontal="center" vertical="center" wrapText="1"/>
    </xf>
    <xf numFmtId="0" fontId="39" fillId="40" borderId="10" xfId="0" applyFont="1" applyFill="1" applyBorder="1" applyAlignment="1">
      <alignment horizontal="center" vertical="center" wrapText="1"/>
    </xf>
    <xf numFmtId="0" fontId="39" fillId="40" borderId="11" xfId="0" applyFont="1" applyFill="1" applyBorder="1" applyAlignment="1">
      <alignment horizontal="center" vertical="center" wrapText="1"/>
    </xf>
    <xf numFmtId="0" fontId="17" fillId="42" borderId="11" xfId="0" applyFont="1" applyFill="1" applyBorder="1" applyAlignment="1" applyProtection="1">
      <alignment readingOrder="2"/>
      <protection locked="0"/>
    </xf>
    <xf numFmtId="2" fontId="43" fillId="33" borderId="11" xfId="35" applyNumberFormat="1" applyFont="1" applyFill="1" applyBorder="1" applyAlignment="1" applyProtection="1">
      <alignment horizontal="center" vertical="center" readingOrder="2"/>
      <protection locked="0"/>
    </xf>
    <xf numFmtId="0" fontId="43" fillId="26" borderId="11" xfId="0" applyFont="1" applyFill="1" applyBorder="1" applyAlignment="1" applyProtection="1">
      <alignment horizontal="center" vertical="center" readingOrder="2"/>
      <protection locked="0"/>
    </xf>
    <xf numFmtId="0" fontId="43" fillId="30" borderId="17" xfId="0" applyFont="1" applyFill="1" applyBorder="1" applyAlignment="1" applyProtection="1">
      <alignment horizontal="center" vertical="center" readingOrder="2"/>
      <protection locked="0"/>
    </xf>
    <xf numFmtId="9" fontId="43" fillId="28" borderId="11" xfId="36" applyFont="1" applyFill="1" applyBorder="1" applyAlignment="1">
      <alignment horizontal="center" vertical="center" readingOrder="2"/>
    </xf>
    <xf numFmtId="165" fontId="43" fillId="28" borderId="11" xfId="35" applyNumberFormat="1" applyFont="1" applyFill="1" applyBorder="1" applyAlignment="1">
      <alignment horizontal="center" vertical="center" readingOrder="2"/>
    </xf>
    <xf numFmtId="165" fontId="43" fillId="37" borderId="13" xfId="35" applyNumberFormat="1" applyFont="1" applyFill="1" applyBorder="1" applyAlignment="1" applyProtection="1">
      <alignment horizontal="center" vertical="center" readingOrder="2"/>
      <protection hidden="1"/>
    </xf>
    <xf numFmtId="0" fontId="44" fillId="0" borderId="11" xfId="0" applyFont="1" applyBorder="1" applyAlignment="1" applyProtection="1">
      <alignment horizontal="center" vertical="center" readingOrder="2"/>
      <protection locked="0" hidden="1"/>
    </xf>
    <xf numFmtId="0" fontId="43" fillId="31" borderId="18" xfId="0" applyFont="1" applyFill="1" applyBorder="1" applyAlignment="1" applyProtection="1">
      <alignment horizontal="center" vertical="center" readingOrder="2"/>
      <protection hidden="1"/>
    </xf>
    <xf numFmtId="0" fontId="44" fillId="31" borderId="15" xfId="0" applyFont="1" applyFill="1" applyBorder="1" applyAlignment="1" applyProtection="1">
      <alignment horizontal="center" vertical="center" readingOrder="2"/>
      <protection locked="0" hidden="1"/>
    </xf>
    <xf numFmtId="0" fontId="44" fillId="31" borderId="18" xfId="0" applyFont="1" applyFill="1" applyBorder="1" applyAlignment="1" applyProtection="1">
      <alignment horizontal="center" vertical="center" readingOrder="2"/>
      <protection locked="0"/>
    </xf>
    <xf numFmtId="0" fontId="44" fillId="31" borderId="22" xfId="0" applyFont="1" applyFill="1" applyBorder="1" applyAlignment="1" applyProtection="1">
      <alignment horizontal="center" vertical="center" readingOrder="2"/>
      <protection locked="0"/>
    </xf>
    <xf numFmtId="0" fontId="44" fillId="0" borderId="17" xfId="0" applyFont="1" applyBorder="1" applyAlignment="1" applyProtection="1">
      <alignment readingOrder="2"/>
      <protection locked="0"/>
    </xf>
    <xf numFmtId="0" fontId="44" fillId="42" borderId="15" xfId="0" applyFont="1" applyFill="1" applyBorder="1" applyAlignment="1" applyProtection="1">
      <alignment readingOrder="2"/>
      <protection locked="0"/>
    </xf>
    <xf numFmtId="0" fontId="44" fillId="0" borderId="0" xfId="0" applyFont="1" applyAlignment="1" applyProtection="1">
      <alignment readingOrder="2"/>
      <protection locked="0"/>
    </xf>
    <xf numFmtId="0" fontId="44" fillId="0" borderId="0" xfId="0" applyFont="1" applyAlignment="1" applyProtection="1">
      <alignment horizontal="center" readingOrder="2"/>
      <protection locked="0"/>
    </xf>
    <xf numFmtId="0" fontId="41" fillId="36" borderId="11" xfId="0" applyFont="1" applyFill="1" applyBorder="1" applyAlignment="1" applyProtection="1">
      <alignment horizontal="center" vertical="center" wrapText="1" readingOrder="2"/>
      <protection locked="0"/>
    </xf>
    <xf numFmtId="0" fontId="16" fillId="23" borderId="0" xfId="0" applyFont="1" applyFill="1" applyAlignment="1">
      <alignment vertical="center" readingOrder="2"/>
    </xf>
    <xf numFmtId="0" fontId="16" fillId="23" borderId="23" xfId="0" applyFont="1" applyFill="1" applyBorder="1" applyAlignment="1">
      <alignment vertical="center" readingOrder="2"/>
    </xf>
    <xf numFmtId="0" fontId="17" fillId="24" borderId="0" xfId="0" applyFont="1" applyFill="1" applyAlignment="1">
      <alignment readingOrder="2"/>
    </xf>
    <xf numFmtId="0" fontId="27" fillId="24" borderId="0" xfId="0" applyFont="1" applyFill="1" applyAlignment="1">
      <alignment horizontal="left" vertical="center" readingOrder="2"/>
    </xf>
    <xf numFmtId="0" fontId="16" fillId="24" borderId="0" xfId="0" applyFont="1" applyFill="1" applyAlignment="1">
      <alignment horizontal="left" vertical="center" readingOrder="2"/>
    </xf>
    <xf numFmtId="0" fontId="19" fillId="0" borderId="0" xfId="0" applyFont="1" applyAlignment="1">
      <alignment horizontal="left" vertical="center" readingOrder="2"/>
    </xf>
    <xf numFmtId="0" fontId="18" fillId="0" borderId="0" xfId="0" applyFont="1" applyAlignment="1">
      <alignment readingOrder="2"/>
    </xf>
    <xf numFmtId="0" fontId="27" fillId="0" borderId="0" xfId="0" applyFont="1" applyAlignment="1">
      <alignment horizontal="center" vertical="center" readingOrder="2"/>
    </xf>
    <xf numFmtId="0" fontId="16" fillId="0" borderId="0" xfId="0" applyFont="1" applyAlignment="1">
      <alignment horizontal="center" vertical="center" readingOrder="2"/>
    </xf>
    <xf numFmtId="0" fontId="16" fillId="0" borderId="11" xfId="0" applyFont="1" applyBorder="1" applyAlignment="1">
      <alignment horizontal="center" vertical="center" readingOrder="2"/>
    </xf>
    <xf numFmtId="0" fontId="18" fillId="0" borderId="0" xfId="0" applyFont="1" applyAlignment="1">
      <alignment horizontal="right" vertical="center" indent="1" readingOrder="2"/>
    </xf>
    <xf numFmtId="0" fontId="16" fillId="36" borderId="11" xfId="0" applyFont="1" applyFill="1" applyBorder="1" applyAlignment="1">
      <alignment horizontal="center" vertical="center" readingOrder="2"/>
    </xf>
    <xf numFmtId="0" fontId="16" fillId="26" borderId="11" xfId="0" applyFont="1" applyFill="1" applyBorder="1" applyAlignment="1">
      <alignment horizontal="center" vertical="center" readingOrder="2"/>
    </xf>
    <xf numFmtId="0" fontId="16" fillId="33" borderId="11" xfId="0" applyFont="1" applyFill="1" applyBorder="1" applyAlignment="1">
      <alignment horizontal="center" vertical="center" readingOrder="2"/>
    </xf>
    <xf numFmtId="0" fontId="24" fillId="0" borderId="0" xfId="0" applyFont="1" applyAlignment="1">
      <alignment vertical="center" readingOrder="2"/>
    </xf>
    <xf numFmtId="0" fontId="25" fillId="0" borderId="0" xfId="0" applyFont="1" applyAlignment="1">
      <alignment vertical="center" readingOrder="2"/>
    </xf>
    <xf numFmtId="0" fontId="24" fillId="30" borderId="14" xfId="0" applyFont="1" applyFill="1" applyBorder="1" applyAlignment="1">
      <alignment horizontal="center" vertical="center" readingOrder="2"/>
    </xf>
    <xf numFmtId="0" fontId="25" fillId="30" borderId="17" xfId="0" applyFont="1" applyFill="1" applyBorder="1" applyAlignment="1">
      <alignment horizontal="center" vertical="center" readingOrder="2"/>
    </xf>
    <xf numFmtId="0" fontId="23" fillId="25" borderId="11" xfId="0" applyFont="1" applyFill="1" applyBorder="1" applyAlignment="1">
      <alignment horizontal="center" vertical="center" readingOrder="2"/>
    </xf>
    <xf numFmtId="0" fontId="23" fillId="25" borderId="11" xfId="0" applyFont="1" applyFill="1" applyBorder="1" applyAlignment="1">
      <alignment horizontal="center" vertical="center" wrapText="1" readingOrder="2"/>
    </xf>
    <xf numFmtId="0" fontId="23" fillId="30" borderId="12" xfId="0" applyFont="1" applyFill="1" applyBorder="1" applyAlignment="1">
      <alignment horizontal="center" vertical="center" wrapText="1" readingOrder="2"/>
    </xf>
    <xf numFmtId="0" fontId="20" fillId="29" borderId="11" xfId="0" applyFont="1" applyFill="1" applyBorder="1" applyAlignment="1">
      <alignment horizontal="center" vertical="center" wrapText="1" readingOrder="2"/>
    </xf>
    <xf numFmtId="0" fontId="20" fillId="29" borderId="14" xfId="0" applyFont="1" applyFill="1" applyBorder="1" applyAlignment="1">
      <alignment horizontal="center" vertical="center" wrapText="1" readingOrder="2"/>
    </xf>
    <xf numFmtId="0" fontId="20" fillId="29" borderId="17" xfId="0" applyFont="1" applyFill="1" applyBorder="1" applyAlignment="1">
      <alignment horizontal="center" vertical="center" wrapText="1" readingOrder="2"/>
    </xf>
    <xf numFmtId="0" fontId="20" fillId="29" borderId="12" xfId="0" applyFont="1" applyFill="1" applyBorder="1" applyAlignment="1">
      <alignment horizontal="center" vertical="center" wrapText="1" readingOrder="2"/>
    </xf>
    <xf numFmtId="0" fontId="20" fillId="30" borderId="17" xfId="0" applyFont="1" applyFill="1" applyBorder="1" applyAlignment="1">
      <alignment horizontal="center" vertical="center" wrapText="1" readingOrder="2"/>
    </xf>
    <xf numFmtId="0" fontId="20" fillId="29" borderId="9" xfId="0" applyFont="1" applyFill="1" applyBorder="1" applyAlignment="1">
      <alignment vertical="center" wrapText="1" readingOrder="2"/>
    </xf>
    <xf numFmtId="0" fontId="20" fillId="29" borderId="10" xfId="0" applyFont="1" applyFill="1" applyBorder="1" applyAlignment="1">
      <alignment vertical="center" wrapText="1" readingOrder="2"/>
    </xf>
    <xf numFmtId="0" fontId="20" fillId="29" borderId="13" xfId="0" applyFont="1" applyFill="1" applyBorder="1" applyAlignment="1">
      <alignment vertical="center" wrapText="1" readingOrder="2"/>
    </xf>
    <xf numFmtId="0" fontId="41" fillId="0" borderId="11" xfId="0" applyFont="1" applyBorder="1" applyAlignment="1">
      <alignment horizontal="center" vertical="center" wrapText="1" readingOrder="2"/>
    </xf>
    <xf numFmtId="0" fontId="40" fillId="0" borderId="20" xfId="0" applyFont="1" applyBorder="1" applyAlignment="1">
      <alignment horizontal="center" vertical="center"/>
    </xf>
    <xf numFmtId="0" fontId="21" fillId="24" borderId="9" xfId="0" applyFont="1" applyFill="1" applyBorder="1" applyAlignment="1">
      <alignment horizontal="center" vertical="center" readingOrder="2"/>
    </xf>
    <xf numFmtId="0" fontId="42" fillId="30" borderId="17" xfId="0" applyFont="1" applyFill="1" applyBorder="1" applyAlignment="1">
      <alignment horizontal="center" vertical="center" readingOrder="2"/>
    </xf>
    <xf numFmtId="0" fontId="43" fillId="30" borderId="17" xfId="0" applyFont="1" applyFill="1" applyBorder="1" applyAlignment="1">
      <alignment horizontal="center" vertical="center" readingOrder="2"/>
    </xf>
    <xf numFmtId="0" fontId="21" fillId="36" borderId="9" xfId="0" applyFont="1" applyFill="1" applyBorder="1" applyAlignment="1" applyProtection="1">
      <alignment horizontal="center" vertical="center" readingOrder="2"/>
      <protection locked="0"/>
    </xf>
    <xf numFmtId="0" fontId="43" fillId="36" borderId="9" xfId="0" applyFont="1" applyFill="1" applyBorder="1" applyAlignment="1" applyProtection="1">
      <alignment horizontal="center" vertical="center" readingOrder="2"/>
      <protection locked="0"/>
    </xf>
    <xf numFmtId="0" fontId="0" fillId="0" borderId="20" xfId="0" applyBorder="1" applyAlignment="1">
      <alignment horizontal="center" vertical="center"/>
    </xf>
    <xf numFmtId="165" fontId="22" fillId="24" borderId="13" xfId="35" applyNumberFormat="1" applyFont="1" applyFill="1" applyBorder="1" applyAlignment="1">
      <alignment horizontal="center" vertical="center" readingOrder="2"/>
    </xf>
    <xf numFmtId="2" fontId="22" fillId="24" borderId="11" xfId="35" applyNumberFormat="1" applyFont="1" applyFill="1" applyBorder="1" applyAlignment="1">
      <alignment horizontal="center" vertical="center" readingOrder="2"/>
    </xf>
    <xf numFmtId="0" fontId="22" fillId="24" borderId="9" xfId="0" applyFont="1" applyFill="1" applyBorder="1" applyAlignment="1">
      <alignment horizontal="center" vertical="center" readingOrder="2"/>
    </xf>
    <xf numFmtId="2" fontId="22" fillId="26" borderId="11" xfId="35" applyNumberFormat="1" applyFont="1" applyFill="1" applyBorder="1" applyAlignment="1" applyProtection="1">
      <alignment horizontal="center" vertical="center" readingOrder="2"/>
      <protection locked="0"/>
    </xf>
    <xf numFmtId="0" fontId="22" fillId="26" borderId="9" xfId="0" applyFont="1" applyFill="1" applyBorder="1" applyAlignment="1" applyProtection="1">
      <alignment horizontal="center" vertical="center" readingOrder="2"/>
      <protection locked="0"/>
    </xf>
    <xf numFmtId="0" fontId="32" fillId="23" borderId="0" xfId="0" applyFont="1" applyFill="1" applyAlignment="1">
      <alignment horizontal="right" vertical="center" readingOrder="2"/>
    </xf>
    <xf numFmtId="0" fontId="45" fillId="24" borderId="9" xfId="0" applyFont="1" applyFill="1" applyBorder="1" applyAlignment="1">
      <alignment horizontal="right" vertical="center"/>
    </xf>
    <xf numFmtId="165" fontId="46" fillId="0" borderId="19" xfId="38" applyNumberFormat="1" applyFont="1" applyBorder="1" applyAlignment="1">
      <alignment horizontal="center" vertical="center"/>
    </xf>
    <xf numFmtId="0" fontId="34" fillId="23" borderId="20" xfId="0" applyFont="1" applyFill="1" applyBorder="1" applyAlignment="1">
      <alignment horizontal="left" vertical="center"/>
    </xf>
    <xf numFmtId="0" fontId="34" fillId="23" borderId="19" xfId="0" applyFont="1" applyFill="1" applyBorder="1" applyAlignment="1">
      <alignment horizontal="left" vertical="center"/>
    </xf>
    <xf numFmtId="0" fontId="34" fillId="23" borderId="21" xfId="0" applyFont="1" applyFill="1" applyBorder="1" applyAlignment="1">
      <alignment horizontal="left" vertical="center"/>
    </xf>
    <xf numFmtId="0" fontId="34" fillId="23" borderId="22" xfId="0" applyFont="1" applyFill="1" applyBorder="1" applyAlignment="1">
      <alignment horizontal="left" vertical="center"/>
    </xf>
    <xf numFmtId="0" fontId="34" fillId="23" borderId="23" xfId="0" applyFont="1" applyFill="1" applyBorder="1" applyAlignment="1">
      <alignment horizontal="left" vertical="center"/>
    </xf>
    <xf numFmtId="0" fontId="34" fillId="23" borderId="0" xfId="0" applyFont="1" applyFill="1" applyAlignment="1">
      <alignment horizontal="left" vertical="center"/>
    </xf>
    <xf numFmtId="0" fontId="34" fillId="23" borderId="18" xfId="0" applyFont="1" applyFill="1" applyBorder="1" applyAlignment="1">
      <alignment horizontal="left" vertical="center"/>
    </xf>
    <xf numFmtId="0" fontId="33" fillId="32" borderId="9" xfId="0" applyFont="1" applyFill="1" applyBorder="1" applyAlignment="1" applyProtection="1">
      <alignment horizontal="center" vertical="center" readingOrder="2"/>
      <protection locked="0"/>
    </xf>
    <xf numFmtId="0" fontId="33" fillId="32" borderId="10" xfId="0" applyFont="1" applyFill="1" applyBorder="1" applyAlignment="1" applyProtection="1">
      <alignment horizontal="center" vertical="center" readingOrder="2"/>
      <protection locked="0"/>
    </xf>
    <xf numFmtId="0" fontId="33" fillId="32" borderId="13" xfId="0" applyFont="1" applyFill="1" applyBorder="1" applyAlignment="1" applyProtection="1">
      <alignment horizontal="center" vertical="center" readingOrder="2"/>
      <protection locked="0"/>
    </xf>
    <xf numFmtId="0" fontId="28" fillId="30" borderId="12" xfId="0" applyFont="1" applyFill="1" applyBorder="1" applyAlignment="1" applyProtection="1">
      <alignment horizontal="right" vertical="center" readingOrder="2"/>
      <protection locked="0"/>
    </xf>
    <xf numFmtId="0" fontId="28" fillId="30" borderId="0" xfId="0" applyFont="1" applyFill="1" applyAlignment="1" applyProtection="1">
      <alignment horizontal="right" vertical="center" readingOrder="2"/>
      <protection locked="0"/>
    </xf>
    <xf numFmtId="0" fontId="16" fillId="38" borderId="12" xfId="0" applyFont="1" applyFill="1" applyBorder="1" applyAlignment="1">
      <alignment horizontal="right" vertical="center" readingOrder="2"/>
    </xf>
    <xf numFmtId="0" fontId="16" fillId="38" borderId="0" xfId="0" applyFont="1" applyFill="1" applyAlignment="1">
      <alignment horizontal="right" vertical="center" readingOrder="2"/>
    </xf>
    <xf numFmtId="0" fontId="16" fillId="38" borderId="14" xfId="0" applyFont="1" applyFill="1" applyBorder="1" applyAlignment="1">
      <alignment horizontal="right" vertical="center" readingOrder="2"/>
    </xf>
    <xf numFmtId="0" fontId="25" fillId="30" borderId="12" xfId="0" applyFont="1" applyFill="1" applyBorder="1" applyAlignment="1">
      <alignment horizontal="center" vertical="center" readingOrder="2"/>
    </xf>
    <xf numFmtId="0" fontId="25" fillId="30" borderId="0" xfId="0" applyFont="1" applyFill="1" applyAlignment="1">
      <alignment horizontal="center" vertical="center" readingOrder="2"/>
    </xf>
    <xf numFmtId="0" fontId="25" fillId="30" borderId="14" xfId="0" applyFont="1" applyFill="1" applyBorder="1" applyAlignment="1">
      <alignment horizontal="center" vertical="center" readingOrder="2"/>
    </xf>
    <xf numFmtId="0" fontId="16" fillId="38" borderId="0" xfId="0" applyFont="1" applyFill="1" applyAlignment="1" applyProtection="1">
      <alignment horizontal="right" vertical="center" readingOrder="2"/>
      <protection locked="0"/>
    </xf>
    <xf numFmtId="0" fontId="16" fillId="38" borderId="14" xfId="0" applyFont="1" applyFill="1" applyBorder="1" applyAlignment="1" applyProtection="1">
      <alignment horizontal="right" vertical="center" readingOrder="2"/>
      <protection locked="0"/>
    </xf>
    <xf numFmtId="0" fontId="24" fillId="30" borderId="0" xfId="0" applyFont="1" applyFill="1" applyAlignment="1" applyProtection="1">
      <alignment horizontal="center" vertical="center" readingOrder="2"/>
      <protection locked="0"/>
    </xf>
    <xf numFmtId="0" fontId="33" fillId="38" borderId="11" xfId="0" applyFont="1" applyFill="1" applyBorder="1" applyAlignment="1" applyProtection="1">
      <alignment horizontal="center" vertical="center" readingOrder="2"/>
      <protection locked="0"/>
    </xf>
    <xf numFmtId="0" fontId="16" fillId="23" borderId="23" xfId="0" applyFont="1" applyFill="1" applyBorder="1" applyAlignment="1" applyProtection="1">
      <alignment vertical="center" readingOrder="2"/>
    </xf>
    <xf numFmtId="0" fontId="40" fillId="33" borderId="20" xfId="0" applyFont="1" applyFill="1" applyBorder="1" applyAlignment="1">
      <alignment horizontal="center" vertical="center"/>
    </xf>
    <xf numFmtId="2" fontId="22" fillId="33" borderId="11" xfId="35" applyNumberFormat="1" applyFont="1" applyFill="1" applyBorder="1" applyAlignment="1" applyProtection="1">
      <alignment horizontal="center" vertical="center" readingOrder="2"/>
      <protection locked="0"/>
    </xf>
    <xf numFmtId="0" fontId="22" fillId="33" borderId="9" xfId="0" applyFont="1" applyFill="1" applyBorder="1" applyAlignment="1" applyProtection="1">
      <alignment horizontal="center" vertical="center" readingOrder="2"/>
      <protection locked="0"/>
    </xf>
  </cellXfs>
  <cellStyles count="39">
    <cellStyle name="20% - Accent1" xfId="15" builtinId="30" customBuiltin="1"/>
    <cellStyle name="20% - Accent2" xfId="18" builtinId="34" customBuiltin="1"/>
    <cellStyle name="20% - Accent3" xfId="21" builtinId="38" customBuiltin="1"/>
    <cellStyle name="20% - Accent4" xfId="25" builtinId="42" customBuiltin="1"/>
    <cellStyle name="20% - Accent5" xfId="28" builtinId="46" customBuiltin="1"/>
    <cellStyle name="20% - Accent6" xfId="31" builtinId="50" customBuiltin="1"/>
    <cellStyle name="40% - Accent1" xfId="16" builtinId="31" customBuiltin="1"/>
    <cellStyle name="40% - Accent2" xfId="19" builtinId="35" customBuiltin="1"/>
    <cellStyle name="40% - Accent3" xfId="22" builtinId="39" customBuiltin="1"/>
    <cellStyle name="40% - Accent4" xfId="26" builtinId="43" customBuiltin="1"/>
    <cellStyle name="40% - Accent5" xfId="29" builtinId="47" customBuiltin="1"/>
    <cellStyle name="40% - Accent6" xfId="32" builtinId="51" customBuiltin="1"/>
    <cellStyle name="60% - Accent1" xfId="17" builtinId="32" customBuiltin="1"/>
    <cellStyle name="60% - Accent2" xfId="20" builtinId="36" customBuiltin="1"/>
    <cellStyle name="60% - Accent3" xfId="23" builtinId="40" customBuiltin="1"/>
    <cellStyle name="60% - Accent4" xfId="27" builtinId="44" customBuiltin="1"/>
    <cellStyle name="60% - Accent5" xfId="30" builtinId="48" customBuiltin="1"/>
    <cellStyle name="60% - Accent6" xfId="33" builtinId="52" customBuiltin="1"/>
    <cellStyle name="Accent4" xfId="24" builtinId="41" customBuiltin="1"/>
    <cellStyle name="Bad" xfId="5" builtinId="27" customBuiltin="1"/>
    <cellStyle name="Calculation" xfId="9" builtinId="22" customBuiltin="1"/>
    <cellStyle name="Check Cell" xfId="11" builtinId="23" customBuiltin="1"/>
    <cellStyle name="Comma" xfId="38" builtinId="3"/>
    <cellStyle name="Comma 2" xfId="34" xr:uid="{27F817D0-65F2-4ABD-BD27-B1368D6ADE5A}"/>
    <cellStyle name="Comma 2 2" xfId="35" xr:uid="{74D8237D-4903-4275-9684-836436C9DFDB}"/>
    <cellStyle name="Explanatory Text" xfId="14" builtinId="53" customBuiltin="1"/>
    <cellStyle name="Good" xfId="4" builtinId="26" customBuiltin="1"/>
    <cellStyle name="Heading 1" xfId="1" builtinId="16" customBuiltin="1"/>
    <cellStyle name="Heading 2" xfId="2" builtinId="17" customBuiltin="1"/>
    <cellStyle name="Heading 3" xfId="3" builtinId="18" customBuiltin="1"/>
    <cellStyle name="Input" xfId="7" builtinId="20" customBuiltin="1"/>
    <cellStyle name="Linked Cell" xfId="10" builtinId="24" customBuiltin="1"/>
    <cellStyle name="Neutral" xfId="6" builtinId="28" customBuiltin="1"/>
    <cellStyle name="Normal" xfId="0" builtinId="0"/>
    <cellStyle name="Normal 10" xfId="37" xr:uid="{B4BFE05C-4704-40DE-8C13-81FCD9BDFFAB}"/>
    <cellStyle name="Note" xfId="13" builtinId="10" customBuiltin="1"/>
    <cellStyle name="Output" xfId="8" builtinId="21" customBuiltin="1"/>
    <cellStyle name="Percent" xfId="36" builtinId="5"/>
    <cellStyle name="Warning Text" xfId="12" builtinId="11" customBuiltin="1"/>
  </cellStyles>
  <dxfs count="12">
    <dxf>
      <font>
        <b val="0"/>
        <i val="0"/>
        <color rgb="FFFF0000"/>
      </font>
      <fill>
        <patternFill>
          <bgColor rgb="FFF2EBC4"/>
        </patternFill>
      </fill>
    </dxf>
    <dxf>
      <fill>
        <patternFill patternType="lightDown">
          <bgColor theme="0" tint="-4.9989318521683403E-2"/>
        </patternFill>
      </fill>
    </dxf>
    <dxf>
      <fill>
        <patternFill patternType="lightDown">
          <bgColor theme="0" tint="-4.9989318521683403E-2"/>
        </patternFill>
      </fill>
    </dxf>
    <dxf>
      <font>
        <color rgb="FFFF0000"/>
      </font>
      <fill>
        <patternFill>
          <bgColor rgb="FFF2EBC4"/>
        </patternFill>
      </fill>
    </dxf>
    <dxf>
      <font>
        <b/>
        <i val="0"/>
        <color rgb="FFFF0000"/>
      </font>
    </dxf>
    <dxf>
      <font>
        <color rgb="FFFF0000"/>
      </font>
      <fill>
        <patternFill>
          <bgColor rgb="FFF2EBC4"/>
        </patternFill>
      </fill>
    </dxf>
    <dxf>
      <fill>
        <patternFill patternType="lightDown">
          <bgColor theme="0" tint="-4.9989318521683403E-2"/>
        </patternFill>
      </fill>
    </dxf>
    <dxf>
      <font>
        <b/>
        <i val="0"/>
        <color rgb="FFFF0000"/>
      </font>
    </dxf>
    <dxf>
      <font>
        <b/>
        <i val="0"/>
        <strike val="0"/>
        <color rgb="FFFF0000"/>
      </font>
    </dxf>
    <dxf>
      <fill>
        <patternFill>
          <bgColor rgb="FFFF9797"/>
        </patternFill>
      </fill>
    </dxf>
    <dxf>
      <fill>
        <patternFill>
          <bgColor rgb="FFFF7979"/>
        </patternFill>
      </fill>
    </dxf>
    <dxf>
      <fill>
        <patternFill>
          <bgColor rgb="FFFF7979"/>
        </patternFill>
      </fill>
    </dxf>
  </dxfs>
  <tableStyles count="0" defaultTableStyle="TableStyleMedium2" defaultPivotStyle="PivotStyleLight16"/>
  <colors>
    <mruColors>
      <color rgb="FFF2EBC4"/>
      <color rgb="FFF6C2D2"/>
      <color rgb="FF8A1538"/>
      <color rgb="FFE7F0FF"/>
      <color rgb="FFD9D9D9"/>
      <color rgb="FFC7BFAC"/>
      <color rgb="FFDF456D"/>
      <color rgb="FFF2B2C4"/>
      <color rgb="FFECEAE3"/>
      <color rgb="FFFF7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liver Wyman">
  <a:themeElements>
    <a:clrScheme name="Oliver Wyman">
      <a:dk1>
        <a:srgbClr val="000000"/>
      </a:dk1>
      <a:lt1>
        <a:srgbClr val="FFFFFF"/>
      </a:lt1>
      <a:dk2>
        <a:srgbClr val="000000"/>
      </a:dk2>
      <a:lt2>
        <a:srgbClr val="FFFFFF"/>
      </a:lt2>
      <a:accent1>
        <a:srgbClr val="002C77"/>
      </a:accent1>
      <a:accent2>
        <a:srgbClr val="009DE0"/>
      </a:accent2>
      <a:accent3>
        <a:srgbClr val="949494"/>
      </a:accent3>
      <a:accent4>
        <a:srgbClr val="DADADA"/>
      </a:accent4>
      <a:accent5>
        <a:srgbClr val="275D38"/>
      </a:accent5>
      <a:accent6>
        <a:srgbClr val="00AC41"/>
      </a:accent6>
      <a:hlink>
        <a:srgbClr val="2C6EF2"/>
      </a:hlink>
      <a:folHlink>
        <a:srgbClr val="2C6EF2"/>
      </a:folHlink>
    </a:clrScheme>
    <a:fontScheme name="Oliver Wyman - Excel">
      <a:majorFont>
        <a:latin typeface="Calibri"/>
        <a:ea typeface=""/>
        <a:cs typeface=""/>
        <a:font script="Jpan" typeface="Meiryo"/>
        <a:font script="Hang" typeface="맑은 고딕"/>
        <a:font script="Hans" typeface="DengXian"/>
        <a:font script="Hant" typeface="DengXian"/>
        <a:font script="Arab" typeface="Dubai"/>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eiryo"/>
        <a:font script="Hang" typeface="맑은 고딕"/>
        <a:font script="Hans" typeface="DengXian"/>
        <a:font script="Hant" typeface="DengXian"/>
        <a:font script="Arab" typeface="Duba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Calibri"/>
        <a:font script="Uigh" typeface="Microsoft Uighur"/>
        <a:font script="Geor" typeface="Sylfaen"/>
      </a:minorFont>
    </a:fontScheme>
    <a:fmtScheme name="Oliver Wyman">
      <a:fillStyleLst>
        <a:solidFill>
          <a:schemeClr val="phClr"/>
        </a:solidFill>
        <a:solidFill>
          <a:schemeClr val="phClr">
            <a:tint val="0"/>
          </a:schemeClr>
        </a:solidFill>
        <a:solidFill>
          <a:schemeClr val="phClr"/>
        </a:solidFill>
      </a:fillStyleLst>
      <a:lnStyleLst>
        <a:ln w="9525" cap="flat" cmpd="sng" algn="ctr">
          <a:solidFill>
            <a:schemeClr val="phClr">
              <a:satMod val="105000"/>
            </a:schemeClr>
          </a:solidFill>
          <a:prstDash val="solid"/>
        </a:ln>
        <a:ln w="9525" cap="flat" cmpd="sng" algn="ctr">
          <a:solidFill>
            <a:schemeClr val="phClr"/>
          </a:solidFill>
          <a:prstDash val="solid"/>
        </a:ln>
        <a:ln w="9525" cap="flat" cmpd="sng" algn="ctr">
          <a:solidFill>
            <a:schemeClr val="phClr"/>
          </a:solidFill>
          <a:prstDash val="solid"/>
        </a:ln>
      </a:lnStyleLst>
      <a:effectStyleLst>
        <a:effectStyle>
          <a:effectLst/>
        </a:effectStyle>
        <a:effectStyle>
          <a:effectLst/>
        </a:effectStyle>
        <a:effectStyle>
          <a:effectLst>
            <a:reflection blurRad="12700" stA="26000" endPos="28000" dist="38100" dir="5400000" sy="-100000" rotWithShape="0"/>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w="9525">
          <a:solidFill>
            <a:schemeClr val="tx1"/>
          </a:solidFill>
          <a:miter lim="800000"/>
        </a:ln>
      </a:spPr>
      <a:bodyPr lIns="73152" tIns="73152" rIns="73152" bIns="73152" rtlCol="0" anchor="ctr"/>
      <a:lstStyle>
        <a:defPPr algn="ctr">
          <a:defRPr sz="1200" kern="0" dirty="0" err="1"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9525">
          <a:solidFill>
            <a:schemeClr val="tx1"/>
          </a:solidFill>
          <a:headEnd type="none" w="med" len="med"/>
          <a:tailEnd type="none" w="med" len="med"/>
        </a:ln>
      </a:spPr>
      <a:bodyPr/>
      <a:lstStyle/>
      <a:style>
        <a:lnRef idx="1">
          <a:schemeClr val="accent1"/>
        </a:lnRef>
        <a:fillRef idx="0">
          <a:schemeClr val="accent1"/>
        </a:fillRef>
        <a:effectRef idx="0">
          <a:schemeClr val="accent1"/>
        </a:effectRef>
        <a:fontRef idx="minor">
          <a:schemeClr val="tx1"/>
        </a:fontRef>
      </a:style>
    </a:lnDef>
    <a:txDef>
      <a:spPr>
        <a:noFill/>
      </a:spPr>
      <a:bodyPr wrap="none" lIns="0" tIns="0" rIns="0" bIns="0" rtlCol="0">
        <a:spAutoFit/>
      </a:bodyPr>
      <a:lstStyle>
        <a:defPPr algn="l">
          <a:defRPr sz="1200" kern="0" dirty="0" smtClean="0"/>
        </a:defPPr>
      </a:lstStyle>
    </a:txDef>
  </a:objectDefaults>
  <a:extraClrSchemeLst/>
  <a:custClrLst>
    <a:custClr name="Dark blue">
      <a:srgbClr val="002C77"/>
    </a:custClr>
    <a:custClr name="Dark gray">
      <a:srgbClr val="565656"/>
    </a:custClr>
    <a:custClr name="Dark green">
      <a:srgbClr val="275D38"/>
    </a:custClr>
    <a:custClr name="Dark yellow">
      <a:srgbClr val="965D00"/>
    </a:custClr>
    <a:custClr name="Dark orange">
      <a:srgbClr val="A32E00"/>
    </a:custClr>
    <a:custClr name="Dark crimson">
      <a:srgbClr val="9A1C1F"/>
    </a:custClr>
    <a:custClr name="Dark pink">
      <a:srgbClr val="B2025B"/>
    </a:custClr>
    <a:custClr name="Dark purple">
      <a:srgbClr val="463282"/>
    </a:custClr>
    <a:custClr name="Dark blue gray">
      <a:srgbClr val="4E6287"/>
    </a:custClr>
    <a:custClr name="Danger red">
      <a:srgbClr val="C53532"/>
    </a:custClr>
    <a:custClr name="Blue">
      <a:srgbClr val="009DE0"/>
    </a:custClr>
    <a:custClr name="Gray">
      <a:srgbClr val="949494"/>
    </a:custClr>
    <a:custClr name="Green">
      <a:srgbClr val="00AC41"/>
    </a:custClr>
    <a:custClr name="Yellow">
      <a:srgbClr val="FFBE00"/>
    </a:custClr>
    <a:custClr name="Orange">
      <a:srgbClr val="FF8C00"/>
    </a:custClr>
    <a:custClr name="Crimson">
      <a:srgbClr val="EF4E45"/>
    </a:custClr>
    <a:custClr name="Pink">
      <a:srgbClr val="EE3D8B"/>
    </a:custClr>
    <a:custClr name="Purple">
      <a:srgbClr val="8246AF"/>
    </a:custClr>
    <a:custClr name="Blue gray">
      <a:srgbClr val="8096B2"/>
    </a:custClr>
    <a:custClr name="Warning yellow">
      <a:srgbClr val="FFBE00"/>
    </a:custClr>
    <a:custClr name="Light blue">
      <a:srgbClr val="76D3FF"/>
    </a:custClr>
    <a:custClr name="Light gray">
      <a:srgbClr val="DADADA"/>
    </a:custClr>
    <a:custClr name="Light green">
      <a:srgbClr val="ADDFB3"/>
    </a:custClr>
    <a:custClr name="Light yellow">
      <a:srgbClr val="FFE580"/>
    </a:custClr>
    <a:custClr name="Light orange">
      <a:srgbClr val="FFCA94"/>
    </a:custClr>
    <a:custClr name="Light crimson">
      <a:srgbClr val="FFAEA6"/>
    </a:custClr>
    <a:custClr name="Light pink">
      <a:srgbClr val="F8ACBE"/>
    </a:custClr>
    <a:custClr name="Light purple">
      <a:srgbClr val="CCB3E0"/>
    </a:custClr>
    <a:custClr name="Light blue gray">
      <a:srgbClr val="BED3E4"/>
    </a:custClr>
    <a:custClr name="Success green">
      <a:srgbClr val="14853D"/>
    </a:custClr>
    <a:custClr name="Table blue">
      <a:srgbClr val="C7EDFF"/>
    </a:custClr>
    <a:custClr name="Table gray">
      <a:srgbClr val="F0F0F0"/>
    </a:custClr>
  </a:custClrLst>
  <a:extLst>
    <a:ext uri="{05A4C25C-085E-4340-85A3-A5531E510DB2}">
      <thm15:themeFamily xmlns:thm15="http://schemas.microsoft.com/office/thememl/2012/main" name="Classic Print.potx" id="{3BD3F9C2-E0F5-4CEF-8789-E4AB830419DB}" vid="{79E2AB3F-92A5-4A76-BFD1-0EDE0A7B893B}"/>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860F-BFEF-48C0-8A48-50C86B291CEF}">
  <sheetPr codeName="Sheet4">
    <tabColor theme="0" tint="-4.9989318521683403E-2"/>
  </sheetPr>
  <dimension ref="A1:S29"/>
  <sheetViews>
    <sheetView showGridLines="0" rightToLeft="1" topLeftCell="A12" zoomScale="105" zoomScaleNormal="96" workbookViewId="0">
      <selection activeCell="B6" sqref="B6"/>
    </sheetView>
  </sheetViews>
  <sheetFormatPr defaultColWidth="8.81640625" defaultRowHeight="14.5" x14ac:dyDescent="0.35"/>
  <cols>
    <col min="1" max="1" width="41.1796875" style="50" customWidth="1"/>
    <col min="2" max="7" width="15.453125" style="50" customWidth="1"/>
    <col min="8" max="8" width="5.453125" style="50" customWidth="1"/>
    <col min="9" max="16384" width="8.81640625" style="50"/>
  </cols>
  <sheetData>
    <row r="1" spans="1:19" x14ac:dyDescent="0.35">
      <c r="A1" s="140" t="s">
        <v>50</v>
      </c>
      <c r="B1" s="141"/>
      <c r="C1" s="141"/>
      <c r="D1" s="141"/>
      <c r="E1" s="141"/>
      <c r="F1" s="141"/>
      <c r="G1" s="141"/>
      <c r="H1" s="141"/>
      <c r="I1" s="141"/>
      <c r="J1" s="141"/>
      <c r="K1" s="141"/>
      <c r="L1" s="141"/>
      <c r="M1" s="141"/>
      <c r="N1" s="141"/>
      <c r="O1" s="141"/>
      <c r="P1" s="141"/>
      <c r="Q1" s="141"/>
      <c r="R1" s="141"/>
      <c r="S1" s="142"/>
    </row>
    <row r="2" spans="1:19" x14ac:dyDescent="0.35">
      <c r="A2" s="143"/>
      <c r="B2" s="144"/>
      <c r="C2" s="144"/>
      <c r="D2" s="144"/>
      <c r="E2" s="144"/>
      <c r="F2" s="145"/>
      <c r="G2" s="144"/>
      <c r="H2" s="144"/>
      <c r="I2" s="144"/>
      <c r="J2" s="144"/>
      <c r="K2" s="144"/>
      <c r="L2" s="144"/>
      <c r="M2" s="144"/>
      <c r="N2" s="144"/>
      <c r="O2" s="144"/>
      <c r="P2" s="144"/>
      <c r="Q2" s="144"/>
      <c r="R2" s="144"/>
      <c r="S2" s="146"/>
    </row>
    <row r="3" spans="1:19" x14ac:dyDescent="0.35">
      <c r="A3" s="51"/>
      <c r="B3" s="51"/>
      <c r="C3" s="51"/>
      <c r="D3" s="51"/>
      <c r="E3" s="51"/>
      <c r="F3" s="51"/>
      <c r="G3" s="51"/>
      <c r="H3" s="51"/>
      <c r="I3" s="51"/>
      <c r="J3" s="51"/>
      <c r="K3" s="51"/>
      <c r="L3" s="51"/>
      <c r="M3" s="51"/>
      <c r="N3" s="51"/>
      <c r="O3" s="51"/>
      <c r="P3" s="51"/>
      <c r="Q3" s="51"/>
      <c r="R3" s="51"/>
    </row>
    <row r="4" spans="1:19" x14ac:dyDescent="0.35">
      <c r="A4" s="52" t="s">
        <v>51</v>
      </c>
      <c r="B4" s="53" t="s">
        <v>52</v>
      </c>
      <c r="C4" s="53" t="s">
        <v>34</v>
      </c>
      <c r="D4" s="54" t="s">
        <v>53</v>
      </c>
      <c r="E4" s="51"/>
      <c r="F4" s="55"/>
      <c r="G4" s="51"/>
      <c r="H4" s="51"/>
      <c r="I4" s="51"/>
      <c r="J4" s="51"/>
      <c r="K4" s="51"/>
      <c r="L4" s="51"/>
      <c r="M4" s="51"/>
      <c r="N4" s="51"/>
      <c r="O4" s="51"/>
      <c r="P4" s="51"/>
      <c r="Q4" s="51"/>
      <c r="R4" s="51"/>
    </row>
    <row r="5" spans="1:19" x14ac:dyDescent="0.35">
      <c r="A5" s="56" t="s">
        <v>60</v>
      </c>
      <c r="B5" s="57">
        <v>5</v>
      </c>
      <c r="C5" s="58" t="s">
        <v>54</v>
      </c>
      <c r="D5" s="56"/>
      <c r="E5" s="51"/>
      <c r="F5" s="59"/>
      <c r="G5" s="51"/>
      <c r="H5" s="51"/>
      <c r="I5" s="60"/>
      <c r="J5" s="51"/>
      <c r="K5" s="51"/>
      <c r="L5" s="51"/>
      <c r="M5" s="51"/>
      <c r="N5" s="51"/>
      <c r="O5" s="51"/>
      <c r="P5" s="51"/>
      <c r="Q5" s="51"/>
      <c r="R5" s="51"/>
    </row>
    <row r="6" spans="1:19" x14ac:dyDescent="0.35">
      <c r="A6" s="56" t="s">
        <v>61</v>
      </c>
      <c r="B6" s="57">
        <v>48</v>
      </c>
      <c r="C6" s="58" t="s">
        <v>55</v>
      </c>
      <c r="D6" s="56"/>
      <c r="E6" s="51"/>
      <c r="F6" s="51"/>
      <c r="G6" s="51"/>
      <c r="H6" s="51"/>
      <c r="I6" s="51"/>
      <c r="J6" s="51"/>
      <c r="K6" s="51"/>
      <c r="L6" s="51"/>
      <c r="M6" s="51"/>
      <c r="N6" s="51"/>
      <c r="O6" s="51"/>
      <c r="P6" s="51"/>
      <c r="Q6" s="51"/>
      <c r="R6" s="51"/>
    </row>
    <row r="7" spans="1:19" x14ac:dyDescent="0.35">
      <c r="A7" s="56" t="s">
        <v>62</v>
      </c>
      <c r="B7" s="57">
        <v>7</v>
      </c>
      <c r="C7" s="58" t="s">
        <v>56</v>
      </c>
      <c r="D7" s="56"/>
      <c r="E7" s="51"/>
      <c r="F7" s="51"/>
      <c r="G7" s="51"/>
      <c r="H7" s="51"/>
      <c r="I7" s="51"/>
      <c r="J7" s="51"/>
      <c r="K7" s="51"/>
      <c r="L7" s="51"/>
      <c r="M7" s="51"/>
      <c r="N7" s="51"/>
      <c r="O7" s="51"/>
      <c r="P7" s="51"/>
      <c r="Q7" s="51"/>
      <c r="R7" s="51"/>
    </row>
    <row r="8" spans="1:19" x14ac:dyDescent="0.35">
      <c r="A8" s="56" t="s">
        <v>63</v>
      </c>
      <c r="B8" s="57">
        <f>B7*B5</f>
        <v>35</v>
      </c>
      <c r="C8" s="58" t="s">
        <v>56</v>
      </c>
      <c r="D8" s="56"/>
      <c r="E8" s="51"/>
      <c r="F8" s="51"/>
      <c r="G8" s="51"/>
      <c r="H8" s="51"/>
      <c r="I8" s="51"/>
      <c r="J8" s="51"/>
      <c r="K8" s="51"/>
      <c r="L8" s="51"/>
      <c r="M8" s="51"/>
      <c r="N8" s="51"/>
      <c r="O8" s="51"/>
      <c r="P8" s="51"/>
      <c r="Q8" s="51"/>
      <c r="R8" s="51"/>
    </row>
    <row r="9" spans="1:19" x14ac:dyDescent="0.35">
      <c r="A9" s="61" t="s">
        <v>76</v>
      </c>
      <c r="B9" s="62">
        <f>(B8)*(B6)</f>
        <v>1680</v>
      </c>
      <c r="C9" s="63" t="s">
        <v>56</v>
      </c>
      <c r="D9" s="61"/>
      <c r="E9" s="51"/>
      <c r="F9" s="51"/>
      <c r="G9" s="51"/>
      <c r="H9" s="51"/>
      <c r="I9" s="51"/>
      <c r="J9" s="51"/>
      <c r="K9" s="51"/>
      <c r="L9" s="51"/>
      <c r="M9" s="51"/>
      <c r="N9" s="51"/>
      <c r="O9" s="51"/>
      <c r="P9" s="51"/>
      <c r="Q9" s="51"/>
      <c r="R9" s="51"/>
    </row>
    <row r="10" spans="1:19" x14ac:dyDescent="0.35">
      <c r="A10" s="56" t="s">
        <v>64</v>
      </c>
      <c r="B10" s="57">
        <v>5</v>
      </c>
      <c r="C10" s="58" t="s">
        <v>56</v>
      </c>
      <c r="D10" s="56"/>
      <c r="E10" s="51"/>
      <c r="F10" s="51"/>
      <c r="G10" s="51"/>
      <c r="H10" s="51"/>
      <c r="I10" s="51"/>
      <c r="J10" s="51"/>
      <c r="K10" s="51"/>
      <c r="L10" s="51"/>
      <c r="M10" s="51"/>
      <c r="N10" s="51"/>
      <c r="O10" s="51"/>
      <c r="P10" s="51"/>
      <c r="Q10" s="51"/>
      <c r="R10" s="51"/>
    </row>
    <row r="11" spans="1:19" x14ac:dyDescent="0.35">
      <c r="A11" s="56" t="s">
        <v>65</v>
      </c>
      <c r="B11" s="57">
        <v>4</v>
      </c>
      <c r="C11" s="58" t="s">
        <v>55</v>
      </c>
      <c r="D11" s="56"/>
      <c r="E11" s="51"/>
      <c r="F11" s="51"/>
      <c r="G11" s="51"/>
      <c r="H11" s="51"/>
      <c r="I11" s="51"/>
      <c r="J11" s="51"/>
      <c r="K11" s="51"/>
      <c r="L11" s="51"/>
      <c r="M11" s="51"/>
      <c r="N11" s="51"/>
      <c r="O11" s="51"/>
      <c r="P11" s="51"/>
      <c r="Q11" s="51"/>
      <c r="R11" s="51"/>
    </row>
    <row r="12" spans="1:19" x14ac:dyDescent="0.35">
      <c r="A12" s="61" t="s">
        <v>83</v>
      </c>
      <c r="B12" s="64">
        <f>B11*B10*B5</f>
        <v>100</v>
      </c>
      <c r="C12" s="63" t="s">
        <v>56</v>
      </c>
      <c r="D12" s="61"/>
      <c r="E12" s="51"/>
      <c r="F12" s="51"/>
      <c r="G12" s="51"/>
      <c r="H12" s="51"/>
      <c r="I12" s="51"/>
      <c r="J12" s="51"/>
      <c r="K12" s="51"/>
      <c r="L12" s="51"/>
      <c r="M12" s="51"/>
      <c r="N12" s="51"/>
      <c r="O12" s="51"/>
      <c r="P12" s="51"/>
      <c r="Q12" s="51"/>
      <c r="R12" s="51"/>
    </row>
    <row r="13" spans="1:19" x14ac:dyDescent="0.35">
      <c r="A13" s="61" t="s">
        <v>77</v>
      </c>
      <c r="B13" s="62">
        <f>B9+B12</f>
        <v>1780</v>
      </c>
      <c r="C13" s="63" t="s">
        <v>56</v>
      </c>
      <c r="D13" s="61"/>
      <c r="E13" s="51"/>
      <c r="F13" s="51"/>
      <c r="G13" s="51"/>
      <c r="H13" s="51"/>
      <c r="I13" s="51"/>
      <c r="J13" s="51"/>
      <c r="K13" s="51"/>
      <c r="L13" s="51"/>
      <c r="M13" s="51"/>
      <c r="N13" s="51"/>
      <c r="O13" s="51"/>
      <c r="P13" s="51"/>
      <c r="Q13" s="51"/>
      <c r="R13" s="51"/>
    </row>
    <row r="14" spans="1:19" x14ac:dyDescent="0.35">
      <c r="A14" s="61" t="s">
        <v>78</v>
      </c>
      <c r="B14" s="62">
        <f>B13/((B6+B11)*5)</f>
        <v>6.8461538461538458</v>
      </c>
      <c r="C14" s="63" t="s">
        <v>56</v>
      </c>
      <c r="D14" s="61"/>
      <c r="E14" s="51"/>
      <c r="F14" s="51"/>
      <c r="G14" s="51"/>
      <c r="H14" s="51"/>
      <c r="I14" s="51"/>
      <c r="J14" s="51"/>
      <c r="K14" s="51"/>
      <c r="L14" s="51"/>
      <c r="M14" s="51"/>
      <c r="N14" s="51"/>
      <c r="O14" s="51"/>
      <c r="P14" s="51"/>
      <c r="Q14" s="51"/>
      <c r="R14" s="51"/>
    </row>
    <row r="15" spans="1:19" x14ac:dyDescent="0.35">
      <c r="A15" s="56" t="s">
        <v>66</v>
      </c>
      <c r="B15" s="57">
        <v>5</v>
      </c>
      <c r="C15" s="58" t="s">
        <v>54</v>
      </c>
      <c r="D15" s="56"/>
      <c r="E15" s="51"/>
      <c r="F15" s="51"/>
      <c r="G15" s="51"/>
      <c r="H15" s="51"/>
      <c r="I15" s="51"/>
      <c r="J15" s="51"/>
      <c r="K15" s="51"/>
      <c r="L15" s="51"/>
      <c r="M15" s="51"/>
      <c r="N15" s="51"/>
      <c r="O15" s="51"/>
      <c r="P15" s="51"/>
      <c r="Q15" s="51"/>
      <c r="R15" s="51"/>
    </row>
    <row r="16" spans="1:19" x14ac:dyDescent="0.35">
      <c r="A16" s="56" t="s">
        <v>67</v>
      </c>
      <c r="B16" s="57">
        <v>5</v>
      </c>
      <c r="C16" s="58" t="s">
        <v>54</v>
      </c>
      <c r="D16" s="56"/>
      <c r="E16" s="51"/>
      <c r="F16" s="51"/>
      <c r="G16" s="51"/>
      <c r="H16" s="51"/>
      <c r="I16" s="51"/>
      <c r="J16" s="51"/>
      <c r="K16" s="51"/>
      <c r="L16" s="51"/>
      <c r="M16" s="51"/>
      <c r="N16" s="51"/>
      <c r="O16" s="51"/>
      <c r="P16" s="51"/>
      <c r="Q16" s="51"/>
      <c r="R16" s="51"/>
    </row>
    <row r="17" spans="1:19" x14ac:dyDescent="0.35">
      <c r="A17" s="56" t="s">
        <v>68</v>
      </c>
      <c r="B17" s="57">
        <v>1</v>
      </c>
      <c r="C17" s="58" t="s">
        <v>54</v>
      </c>
      <c r="D17" s="56"/>
      <c r="E17" s="51"/>
      <c r="F17" s="51"/>
      <c r="G17" s="51"/>
      <c r="H17" s="51"/>
      <c r="I17" s="51"/>
      <c r="J17" s="51"/>
      <c r="K17" s="51"/>
      <c r="L17" s="51"/>
      <c r="M17" s="51"/>
      <c r="N17" s="51"/>
      <c r="O17" s="51"/>
      <c r="P17" s="51"/>
      <c r="Q17" s="51"/>
      <c r="R17" s="51"/>
    </row>
    <row r="18" spans="1:19" x14ac:dyDescent="0.35">
      <c r="A18" s="56" t="s">
        <v>69</v>
      </c>
      <c r="B18" s="57">
        <v>1</v>
      </c>
      <c r="C18" s="58" t="s">
        <v>54</v>
      </c>
      <c r="D18" s="56"/>
      <c r="E18" s="51"/>
      <c r="F18" s="51"/>
      <c r="G18" s="51"/>
      <c r="H18" s="51"/>
      <c r="I18" s="51"/>
      <c r="J18" s="51"/>
      <c r="K18" s="51"/>
      <c r="L18" s="51"/>
      <c r="M18" s="51"/>
      <c r="N18" s="51"/>
      <c r="O18" s="51"/>
      <c r="P18" s="51"/>
      <c r="Q18" s="51"/>
      <c r="R18" s="51"/>
    </row>
    <row r="19" spans="1:19" x14ac:dyDescent="0.35">
      <c r="A19" s="61" t="s">
        <v>79</v>
      </c>
      <c r="B19" s="62">
        <f>B13-(B15*B14)-(B16*B14)-(B17*B14)-(B18*B14)</f>
        <v>1697.8461538461538</v>
      </c>
      <c r="C19" s="63" t="s">
        <v>56</v>
      </c>
      <c r="D19" s="61"/>
      <c r="E19" s="51"/>
      <c r="F19" s="51"/>
      <c r="G19" s="51"/>
      <c r="H19" s="51"/>
      <c r="I19" s="51"/>
      <c r="J19" s="51"/>
      <c r="K19" s="51"/>
      <c r="L19" s="51"/>
      <c r="M19" s="51"/>
      <c r="N19" s="51"/>
      <c r="O19" s="51"/>
      <c r="P19" s="51"/>
      <c r="Q19" s="51"/>
      <c r="R19" s="51"/>
    </row>
    <row r="20" spans="1:19" x14ac:dyDescent="0.35">
      <c r="A20" s="56" t="s">
        <v>70</v>
      </c>
      <c r="B20" s="57">
        <v>45</v>
      </c>
      <c r="C20" s="58" t="s">
        <v>54</v>
      </c>
      <c r="D20" s="56"/>
      <c r="E20" s="51"/>
      <c r="F20" s="51"/>
      <c r="G20" s="51"/>
      <c r="H20" s="51"/>
      <c r="I20" s="51"/>
      <c r="J20" s="51"/>
      <c r="K20" s="51"/>
      <c r="L20" s="51"/>
      <c r="M20" s="51"/>
      <c r="N20" s="51"/>
      <c r="O20" s="51"/>
      <c r="P20" s="51"/>
      <c r="Q20" s="51"/>
      <c r="R20" s="51"/>
    </row>
    <row r="21" spans="1:19" x14ac:dyDescent="0.35">
      <c r="A21" s="61" t="s">
        <v>80</v>
      </c>
      <c r="B21" s="64">
        <f>B20*B14</f>
        <v>308.07692307692304</v>
      </c>
      <c r="C21" s="63" t="s">
        <v>56</v>
      </c>
      <c r="D21" s="61"/>
      <c r="E21" s="51"/>
      <c r="F21" s="51"/>
      <c r="G21" s="51"/>
      <c r="H21" s="51"/>
      <c r="I21" s="51"/>
      <c r="J21" s="51"/>
      <c r="K21" s="51"/>
      <c r="L21" s="51"/>
      <c r="M21" s="51"/>
      <c r="N21" s="51"/>
      <c r="O21" s="51"/>
      <c r="P21" s="51"/>
      <c r="Q21" s="51"/>
      <c r="R21" s="51"/>
    </row>
    <row r="22" spans="1:19" x14ac:dyDescent="0.35">
      <c r="A22" s="56" t="s">
        <v>71</v>
      </c>
      <c r="B22" s="57">
        <v>10</v>
      </c>
      <c r="C22" s="58" t="s">
        <v>54</v>
      </c>
      <c r="D22" s="56"/>
      <c r="E22" s="51"/>
      <c r="F22" s="51"/>
      <c r="G22" s="51"/>
      <c r="H22" s="51"/>
      <c r="I22" s="51"/>
      <c r="J22" s="51"/>
      <c r="K22" s="51"/>
      <c r="L22" s="51"/>
      <c r="M22" s="51"/>
      <c r="N22" s="51"/>
      <c r="O22" s="51"/>
      <c r="P22" s="51"/>
      <c r="Q22" s="51"/>
      <c r="R22" s="51"/>
    </row>
    <row r="23" spans="1:19" x14ac:dyDescent="0.35">
      <c r="A23" s="61" t="s">
        <v>81</v>
      </c>
      <c r="B23" s="64">
        <f>B22*B14</f>
        <v>68.461538461538453</v>
      </c>
      <c r="C23" s="63" t="s">
        <v>56</v>
      </c>
      <c r="D23" s="61"/>
      <c r="E23" s="51"/>
      <c r="F23" s="51"/>
      <c r="G23" s="51"/>
      <c r="H23" s="51"/>
      <c r="I23" s="51"/>
      <c r="J23" s="51"/>
      <c r="K23" s="51"/>
      <c r="L23" s="51"/>
      <c r="M23" s="51"/>
      <c r="N23" s="51"/>
      <c r="O23" s="51"/>
      <c r="P23" s="51"/>
      <c r="Q23" s="51"/>
      <c r="R23" s="51"/>
    </row>
    <row r="24" spans="1:19" x14ac:dyDescent="0.35">
      <c r="A24" s="61" t="s">
        <v>82</v>
      </c>
      <c r="B24" s="62">
        <f>B19-B21-B23</f>
        <v>1321.3076923076924</v>
      </c>
      <c r="C24" s="63" t="s">
        <v>56</v>
      </c>
      <c r="D24" s="61"/>
      <c r="E24" s="51"/>
      <c r="F24" s="51"/>
      <c r="G24" s="51"/>
      <c r="H24" s="51"/>
      <c r="I24" s="51"/>
      <c r="J24" s="51"/>
      <c r="K24" s="51"/>
      <c r="L24" s="51"/>
      <c r="M24" s="51"/>
      <c r="N24" s="51"/>
      <c r="O24" s="51"/>
      <c r="P24" s="51"/>
      <c r="Q24" s="51"/>
      <c r="R24" s="51"/>
    </row>
    <row r="25" spans="1:19" x14ac:dyDescent="0.35">
      <c r="A25" s="56" t="s">
        <v>72</v>
      </c>
      <c r="B25" s="65">
        <v>0.75</v>
      </c>
      <c r="C25" s="58" t="s">
        <v>57</v>
      </c>
      <c r="D25" s="56"/>
      <c r="E25" s="51"/>
      <c r="F25" s="51"/>
      <c r="G25" s="51"/>
      <c r="H25" s="51"/>
      <c r="I25" s="51"/>
      <c r="J25" s="51"/>
      <c r="K25" s="51"/>
      <c r="L25" s="51"/>
      <c r="M25" s="51"/>
      <c r="N25" s="51"/>
      <c r="O25" s="51"/>
      <c r="P25" s="51"/>
      <c r="Q25" s="51"/>
      <c r="R25" s="51"/>
    </row>
    <row r="26" spans="1:19" x14ac:dyDescent="0.35">
      <c r="A26" s="61" t="s">
        <v>73</v>
      </c>
      <c r="B26" s="66">
        <f>B25*B24</f>
        <v>990.98076923076928</v>
      </c>
      <c r="C26" s="63" t="s">
        <v>56</v>
      </c>
      <c r="D26" s="61"/>
      <c r="E26" s="51"/>
      <c r="F26" s="51"/>
      <c r="G26" s="51"/>
      <c r="H26" s="51"/>
      <c r="I26" s="51"/>
      <c r="J26" s="51"/>
      <c r="K26" s="51"/>
      <c r="L26" s="51"/>
      <c r="M26" s="51"/>
      <c r="N26" s="51"/>
      <c r="O26" s="51"/>
      <c r="P26" s="51"/>
      <c r="Q26" s="51"/>
      <c r="R26" s="51"/>
    </row>
    <row r="27" spans="1:19" x14ac:dyDescent="0.35">
      <c r="A27" s="61" t="s">
        <v>74</v>
      </c>
      <c r="B27" s="66">
        <f>B26*60</f>
        <v>59458.846153846156</v>
      </c>
      <c r="C27" s="63" t="s">
        <v>58</v>
      </c>
      <c r="D27" s="61"/>
      <c r="E27" s="51"/>
      <c r="F27" s="51"/>
      <c r="G27" s="51"/>
      <c r="H27" s="51"/>
      <c r="I27" s="51"/>
      <c r="J27" s="51"/>
      <c r="K27" s="51"/>
      <c r="L27" s="51"/>
      <c r="M27" s="51"/>
      <c r="N27" s="51"/>
      <c r="O27" s="51"/>
      <c r="P27" s="51"/>
      <c r="Q27" s="51"/>
      <c r="R27" s="51"/>
    </row>
    <row r="28" spans="1:19" x14ac:dyDescent="0.35">
      <c r="A28" s="61" t="s">
        <v>75</v>
      </c>
      <c r="B28" s="66">
        <f>((B6+B11)*B5)-B15-B16-B17-B18-B20-B22</f>
        <v>193</v>
      </c>
      <c r="C28" s="63" t="s">
        <v>54</v>
      </c>
      <c r="D28" s="61"/>
      <c r="E28" s="51"/>
      <c r="F28" s="51"/>
      <c r="G28" s="51"/>
      <c r="H28" s="51"/>
      <c r="I28" s="51"/>
      <c r="J28" s="51"/>
      <c r="K28" s="51"/>
      <c r="L28" s="51"/>
      <c r="M28" s="51"/>
      <c r="N28" s="51"/>
      <c r="O28" s="51"/>
      <c r="P28" s="51"/>
      <c r="Q28" s="51"/>
      <c r="R28" s="51"/>
    </row>
    <row r="29" spans="1:19" x14ac:dyDescent="0.35">
      <c r="A29" s="51"/>
      <c r="B29" s="51"/>
      <c r="C29" s="51"/>
      <c r="D29" s="51"/>
      <c r="E29" s="51"/>
      <c r="F29" s="51"/>
      <c r="G29" s="51"/>
      <c r="H29" s="51"/>
      <c r="I29" s="51"/>
      <c r="J29" s="51"/>
      <c r="K29" s="51"/>
      <c r="L29" s="51"/>
      <c r="M29" s="51"/>
      <c r="N29" s="51"/>
      <c r="O29" s="51"/>
      <c r="P29" s="51"/>
      <c r="Q29" s="51"/>
      <c r="R29" s="51"/>
      <c r="S29" s="51"/>
    </row>
  </sheetData>
  <mergeCells count="1">
    <mergeCell ref="A1:S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6823-FAD3-48A8-9558-23B7D95904A0}">
  <sheetPr>
    <tabColor theme="0" tint="-4.9989318521683403E-2"/>
  </sheetPr>
  <dimension ref="A1:B4"/>
  <sheetViews>
    <sheetView rightToLeft="1" workbookViewId="0">
      <selection activeCell="B6" sqref="B6"/>
    </sheetView>
  </sheetViews>
  <sheetFormatPr defaultRowHeight="14.5" x14ac:dyDescent="0.35"/>
  <cols>
    <col min="1" max="1" width="15.54296875" bestFit="1" customWidth="1"/>
    <col min="2" max="2" width="20.90625" customWidth="1"/>
  </cols>
  <sheetData>
    <row r="1" spans="1:2" x14ac:dyDescent="0.35">
      <c r="A1" s="17" t="s">
        <v>85</v>
      </c>
      <c r="B1" s="17" t="s">
        <v>84</v>
      </c>
    </row>
    <row r="2" spans="1:2" x14ac:dyDescent="0.35">
      <c r="A2" s="18" t="s">
        <v>47</v>
      </c>
      <c r="B2" s="19" t="s">
        <v>45</v>
      </c>
    </row>
    <row r="3" spans="1:2" x14ac:dyDescent="0.35">
      <c r="A3" s="20"/>
      <c r="B3" s="21" t="s">
        <v>32</v>
      </c>
    </row>
    <row r="4" spans="1:2" x14ac:dyDescent="0.35">
      <c r="A4" s="22"/>
      <c r="B4" s="23"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F649-3FAD-405F-A12F-23344B31C762}">
  <sheetPr>
    <tabColor rgb="FFDF456D"/>
  </sheetPr>
  <dimension ref="B1:BF270"/>
  <sheetViews>
    <sheetView showGridLines="0" rightToLeft="1" tabSelected="1" zoomScale="48" zoomScaleNormal="60" zoomScalePageLayoutView="55" workbookViewId="0">
      <selection activeCell="B1" sqref="B1"/>
    </sheetView>
  </sheetViews>
  <sheetFormatPr defaultColWidth="9" defaultRowHeight="14.5" outlineLevelCol="1" x14ac:dyDescent="0.35"/>
  <cols>
    <col min="1" max="1" width="2.453125" style="1" customWidth="1"/>
    <col min="2" max="2" width="20.1796875" style="39" customWidth="1"/>
    <col min="3" max="3" width="26.7265625" style="39" customWidth="1"/>
    <col min="4" max="4" width="27.7265625" style="39" customWidth="1"/>
    <col min="5" max="5" width="27.1796875" style="39" customWidth="1"/>
    <col min="6" max="6" width="65.26953125" style="39" customWidth="1"/>
    <col min="7" max="7" width="50.6328125" style="39" customWidth="1"/>
    <col min="8" max="8" width="1.6328125" style="39" customWidth="1"/>
    <col min="9" max="15" width="19.6328125" style="39" hidden="1" customWidth="1" outlineLevel="1"/>
    <col min="16" max="16" width="26.453125" style="39" hidden="1" customWidth="1" outlineLevel="1"/>
    <col min="17" max="17" width="20.26953125" style="39" hidden="1" customWidth="1" outlineLevel="1"/>
    <col min="18" max="18" width="1.6328125" style="39" customWidth="1" collapsed="1"/>
    <col min="19" max="26" width="19.6328125" style="39" customWidth="1"/>
    <col min="27" max="27" width="36.08984375" style="39" customWidth="1"/>
    <col min="28" max="28" width="22.90625" style="39" customWidth="1"/>
    <col min="29" max="29" width="35.1796875" style="39" customWidth="1"/>
    <col min="30" max="30" width="1.6328125" style="39" customWidth="1"/>
    <col min="31" max="38" width="17.453125" style="39" hidden="1" customWidth="1" outlineLevel="1"/>
    <col min="39" max="39" width="33" style="39" hidden="1" customWidth="1" outlineLevel="1"/>
    <col min="40" max="40" width="24.453125" style="39" hidden="1" customWidth="1" outlineLevel="1"/>
    <col min="41" max="41" width="45.6328125" style="39" customWidth="1" collapsed="1"/>
    <col min="42" max="42" width="55.6328125" style="39" customWidth="1"/>
    <col min="43" max="43" width="45.6328125" style="39" customWidth="1"/>
    <col min="44" max="44" width="55.6328125" style="39" customWidth="1"/>
    <col min="45" max="45" width="45.6328125" style="39" customWidth="1"/>
    <col min="46" max="46" width="55.6328125" style="39" customWidth="1"/>
    <col min="47" max="47" width="32.7265625" style="39" customWidth="1"/>
    <col min="48" max="48" width="33.90625" style="39" customWidth="1"/>
    <col min="49" max="49" width="1.6328125" style="1" customWidth="1"/>
    <col min="50" max="57" width="9" style="1" hidden="1" customWidth="1" outlineLevel="1"/>
    <col min="58" max="58" width="9" style="1" collapsed="1"/>
    <col min="59" max="16384" width="9" style="1"/>
  </cols>
  <sheetData>
    <row r="1" spans="2:58" ht="21" customHeight="1" x14ac:dyDescent="0.35">
      <c r="B1" s="95" t="s">
        <v>35</v>
      </c>
      <c r="C1" s="95"/>
      <c r="D1" s="95"/>
      <c r="E1" s="95"/>
      <c r="F1" s="95"/>
      <c r="G1" s="95"/>
      <c r="H1" s="95"/>
      <c r="I1" s="95"/>
      <c r="J1" s="95"/>
      <c r="K1" s="95"/>
      <c r="L1" s="95"/>
      <c r="M1" s="95"/>
      <c r="N1" s="95"/>
      <c r="O1" s="95"/>
      <c r="P1" s="95"/>
      <c r="Q1" s="95"/>
      <c r="R1" s="95"/>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row>
    <row r="2" spans="2:58" ht="21" customHeight="1" x14ac:dyDescent="0.35">
      <c r="B2" s="137" t="s">
        <v>0</v>
      </c>
      <c r="C2" s="162"/>
      <c r="D2" s="96"/>
      <c r="E2" s="96"/>
      <c r="F2" s="96"/>
      <c r="G2" s="96"/>
      <c r="H2" s="96"/>
      <c r="I2" s="96"/>
      <c r="J2" s="96"/>
      <c r="K2" s="96"/>
      <c r="L2" s="96"/>
      <c r="M2" s="96"/>
      <c r="N2" s="96"/>
      <c r="O2" s="96"/>
      <c r="P2" s="96"/>
      <c r="Q2" s="96"/>
      <c r="R2" s="96"/>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row>
    <row r="3" spans="2:58" s="29" customFormat="1" ht="21" customHeight="1" x14ac:dyDescent="0.35">
      <c r="B3" s="97"/>
      <c r="C3" s="97"/>
      <c r="D3" s="98"/>
      <c r="E3" s="98"/>
      <c r="F3" s="99"/>
      <c r="G3" s="99"/>
      <c r="H3" s="99"/>
      <c r="I3" s="99"/>
      <c r="J3" s="99"/>
      <c r="K3" s="99"/>
      <c r="L3" s="99"/>
      <c r="M3" s="99"/>
      <c r="N3" s="99"/>
      <c r="O3" s="99"/>
      <c r="P3" s="99"/>
      <c r="Q3" s="99"/>
      <c r="R3" s="99"/>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row>
    <row r="4" spans="2:58" ht="21" customHeight="1" x14ac:dyDescent="0.35">
      <c r="B4" s="100" t="s">
        <v>1</v>
      </c>
      <c r="C4" s="100"/>
      <c r="D4" s="101"/>
      <c r="E4" s="102"/>
      <c r="F4" s="103"/>
      <c r="G4" s="103"/>
      <c r="H4" s="103"/>
      <c r="I4" s="103"/>
      <c r="J4" s="103"/>
      <c r="K4" s="103"/>
      <c r="L4" s="103"/>
      <c r="M4" s="103"/>
      <c r="N4" s="103"/>
      <c r="O4" s="103"/>
      <c r="P4" s="103"/>
      <c r="Q4" s="103"/>
      <c r="R4" s="103"/>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row>
    <row r="5" spans="2:58" ht="21" customHeight="1" x14ac:dyDescent="0.35">
      <c r="B5" s="104"/>
      <c r="C5" s="105" t="s">
        <v>36</v>
      </c>
      <c r="D5" s="101"/>
      <c r="E5" s="102"/>
      <c r="F5" s="103"/>
      <c r="G5" s="103"/>
      <c r="H5" s="103"/>
      <c r="I5" s="103"/>
      <c r="J5" s="103"/>
      <c r="K5" s="103"/>
      <c r="L5" s="103"/>
      <c r="M5" s="103"/>
      <c r="N5" s="103"/>
      <c r="O5" s="103"/>
      <c r="P5" s="103"/>
      <c r="Q5" s="103"/>
      <c r="R5" s="103"/>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row>
    <row r="6" spans="2:58" ht="21" customHeight="1" x14ac:dyDescent="0.35">
      <c r="B6" s="106"/>
      <c r="C6" s="105" t="s">
        <v>2</v>
      </c>
      <c r="D6" s="101"/>
      <c r="E6" s="102"/>
      <c r="F6" s="103"/>
      <c r="G6" s="103"/>
      <c r="H6" s="103"/>
      <c r="I6" s="103"/>
      <c r="J6" s="103"/>
      <c r="K6" s="103"/>
      <c r="L6" s="103"/>
      <c r="M6" s="103"/>
      <c r="N6" s="103"/>
      <c r="O6" s="103"/>
      <c r="P6" s="103"/>
      <c r="Q6" s="103"/>
      <c r="R6" s="103"/>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row>
    <row r="7" spans="2:58" ht="21" customHeight="1" x14ac:dyDescent="0.35">
      <c r="B7" s="107"/>
      <c r="C7" s="105" t="s">
        <v>3</v>
      </c>
      <c r="D7" s="101"/>
      <c r="E7" s="102"/>
      <c r="F7" s="103"/>
      <c r="G7" s="103"/>
      <c r="H7" s="103"/>
      <c r="I7" s="103"/>
      <c r="J7" s="103"/>
      <c r="K7" s="103"/>
      <c r="L7" s="103"/>
      <c r="M7" s="103"/>
      <c r="N7" s="103"/>
      <c r="O7" s="103"/>
      <c r="P7" s="103"/>
      <c r="Q7" s="103"/>
      <c r="R7" s="103"/>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row>
    <row r="8" spans="2:58" ht="21" customHeight="1" x14ac:dyDescent="0.35">
      <c r="B8" s="108"/>
      <c r="C8" s="105" t="s">
        <v>4</v>
      </c>
      <c r="D8" s="102"/>
      <c r="E8" s="102"/>
      <c r="F8" s="103"/>
      <c r="G8" s="103"/>
      <c r="H8" s="103"/>
      <c r="I8" s="103"/>
      <c r="J8" s="103"/>
      <c r="K8" s="103"/>
      <c r="L8" s="103"/>
      <c r="M8" s="103"/>
      <c r="N8" s="103"/>
      <c r="O8" s="103"/>
      <c r="P8" s="103"/>
      <c r="Q8" s="103"/>
      <c r="R8" s="103"/>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row>
    <row r="9" spans="2:58" ht="15" customHeight="1" x14ac:dyDescent="0.35">
      <c r="B9" s="109"/>
      <c r="C9" s="110"/>
      <c r="D9" s="110"/>
      <c r="E9" s="110"/>
      <c r="F9" s="109"/>
      <c r="G9" s="109"/>
      <c r="H9" s="111"/>
      <c r="I9" s="152" t="s">
        <v>39</v>
      </c>
      <c r="J9" s="153"/>
      <c r="K9" s="153"/>
      <c r="L9" s="153"/>
      <c r="M9" s="153"/>
      <c r="N9" s="153"/>
      <c r="O9" s="153"/>
      <c r="P9" s="153"/>
      <c r="Q9" s="154"/>
      <c r="R9" s="112"/>
      <c r="S9" s="158" t="s">
        <v>38</v>
      </c>
      <c r="T9" s="158"/>
      <c r="U9" s="158"/>
      <c r="V9" s="158"/>
      <c r="W9" s="158"/>
      <c r="X9" s="158"/>
      <c r="Y9" s="158"/>
      <c r="Z9" s="158"/>
      <c r="AA9" s="158"/>
      <c r="AB9" s="158"/>
      <c r="AC9" s="159"/>
      <c r="AD9" s="2"/>
      <c r="AE9" s="150" t="s">
        <v>5</v>
      </c>
      <c r="AF9" s="151"/>
      <c r="AG9" s="151"/>
      <c r="AH9" s="151"/>
      <c r="AI9" s="151"/>
      <c r="AJ9" s="151"/>
      <c r="AK9" s="151"/>
      <c r="AL9" s="151"/>
      <c r="AM9" s="151"/>
      <c r="AN9" s="151"/>
      <c r="AO9" s="151"/>
      <c r="AP9" s="151"/>
      <c r="AQ9" s="151"/>
      <c r="AR9" s="151"/>
      <c r="AS9" s="151"/>
      <c r="AT9" s="151"/>
      <c r="AU9" s="151"/>
      <c r="AV9" s="151"/>
      <c r="AW9" s="70"/>
      <c r="AX9" s="71"/>
      <c r="AY9" s="71"/>
      <c r="AZ9" s="71"/>
      <c r="BA9" s="71"/>
      <c r="BB9" s="71"/>
      <c r="BC9" s="71"/>
      <c r="BD9" s="71"/>
      <c r="BE9" s="72"/>
    </row>
    <row r="10" spans="2:58" ht="15" customHeight="1" x14ac:dyDescent="0.35">
      <c r="B10" s="109"/>
      <c r="C10" s="110"/>
      <c r="D10" s="110"/>
      <c r="E10" s="110"/>
      <c r="F10" s="109"/>
      <c r="G10" s="109"/>
      <c r="H10" s="111"/>
      <c r="I10" s="152"/>
      <c r="J10" s="153"/>
      <c r="K10" s="153"/>
      <c r="L10" s="153"/>
      <c r="M10" s="153"/>
      <c r="N10" s="153"/>
      <c r="O10" s="153"/>
      <c r="P10" s="153"/>
      <c r="Q10" s="154"/>
      <c r="R10" s="112"/>
      <c r="S10" s="158"/>
      <c r="T10" s="158"/>
      <c r="U10" s="158"/>
      <c r="V10" s="158"/>
      <c r="W10" s="158"/>
      <c r="X10" s="158"/>
      <c r="Y10" s="158"/>
      <c r="Z10" s="158"/>
      <c r="AA10" s="158"/>
      <c r="AB10" s="158"/>
      <c r="AC10" s="159"/>
      <c r="AD10" s="2"/>
      <c r="AE10" s="150"/>
      <c r="AF10" s="151"/>
      <c r="AG10" s="151"/>
      <c r="AH10" s="151"/>
      <c r="AI10" s="151"/>
      <c r="AJ10" s="151"/>
      <c r="AK10" s="151"/>
      <c r="AL10" s="151"/>
      <c r="AM10" s="151"/>
      <c r="AN10" s="151"/>
      <c r="AO10" s="151"/>
      <c r="AP10" s="151"/>
      <c r="AQ10" s="151"/>
      <c r="AR10" s="151"/>
      <c r="AS10" s="151"/>
      <c r="AT10" s="151"/>
      <c r="AU10" s="151"/>
      <c r="AV10" s="151"/>
      <c r="AW10" s="70"/>
      <c r="AX10" s="71"/>
      <c r="AY10" s="71"/>
      <c r="AZ10" s="71"/>
      <c r="BA10" s="71"/>
      <c r="BB10" s="71"/>
      <c r="BC10" s="71"/>
      <c r="BD10" s="71"/>
      <c r="BE10" s="72"/>
    </row>
    <row r="11" spans="2:58" ht="15" customHeight="1" x14ac:dyDescent="0.35">
      <c r="B11" s="109"/>
      <c r="C11" s="109"/>
      <c r="D11" s="109"/>
      <c r="E11" s="109"/>
      <c r="F11" s="109"/>
      <c r="G11" s="109"/>
      <c r="H11" s="111"/>
      <c r="I11" s="155"/>
      <c r="J11" s="156"/>
      <c r="K11" s="156"/>
      <c r="L11" s="156"/>
      <c r="M11" s="156"/>
      <c r="N11" s="156"/>
      <c r="O11" s="156"/>
      <c r="P11" s="156"/>
      <c r="Q11" s="157"/>
      <c r="R11" s="112"/>
      <c r="S11" s="161" t="s">
        <v>6</v>
      </c>
      <c r="T11" s="161"/>
      <c r="U11" s="161"/>
      <c r="V11" s="161"/>
      <c r="W11" s="161"/>
      <c r="X11" s="161"/>
      <c r="Y11" s="161"/>
      <c r="Z11" s="161"/>
      <c r="AA11" s="161" t="s">
        <v>48</v>
      </c>
      <c r="AB11" s="161"/>
      <c r="AC11" s="44"/>
      <c r="AD11" s="2"/>
      <c r="AE11" s="49">
        <v>0.15</v>
      </c>
      <c r="AF11" s="160"/>
      <c r="AG11" s="160"/>
      <c r="AH11" s="160"/>
      <c r="AI11" s="160"/>
      <c r="AJ11" s="160"/>
      <c r="AK11" s="160"/>
      <c r="AL11" s="160"/>
      <c r="AM11" s="160"/>
      <c r="AN11" s="160"/>
      <c r="AO11" s="160"/>
      <c r="AP11" s="160"/>
      <c r="AQ11" s="160"/>
      <c r="AR11" s="160"/>
      <c r="AS11" s="160"/>
      <c r="AT11" s="160"/>
      <c r="AU11" s="160"/>
      <c r="AV11" s="160"/>
      <c r="AW11" s="70"/>
      <c r="AX11" s="71"/>
      <c r="AY11" s="71"/>
      <c r="AZ11" s="71"/>
      <c r="BA11" s="71"/>
      <c r="BB11" s="71"/>
      <c r="BC11" s="71"/>
      <c r="BD11" s="71"/>
      <c r="BE11" s="73"/>
    </row>
    <row r="12" spans="2:58" ht="33.5" customHeight="1" x14ac:dyDescent="0.35">
      <c r="B12" s="113" t="s">
        <v>7</v>
      </c>
      <c r="C12" s="113" t="s">
        <v>8</v>
      </c>
      <c r="D12" s="113" t="s">
        <v>9</v>
      </c>
      <c r="E12" s="113" t="s">
        <v>10</v>
      </c>
      <c r="F12" s="114" t="s">
        <v>11</v>
      </c>
      <c r="G12" s="114" t="s">
        <v>12</v>
      </c>
      <c r="H12" s="115"/>
      <c r="I12" s="114">
        <v>2023</v>
      </c>
      <c r="J12" s="114">
        <v>2024</v>
      </c>
      <c r="K12" s="114">
        <v>2025</v>
      </c>
      <c r="L12" s="114">
        <v>2026</v>
      </c>
      <c r="M12" s="114">
        <v>2027</v>
      </c>
      <c r="N12" s="114">
        <v>2028</v>
      </c>
      <c r="O12" s="114">
        <v>2029</v>
      </c>
      <c r="P12" s="114" t="s">
        <v>49</v>
      </c>
      <c r="Q12" s="114" t="s">
        <v>14</v>
      </c>
      <c r="R12" s="115"/>
      <c r="S12" s="48">
        <v>2023</v>
      </c>
      <c r="T12" s="48">
        <v>2024</v>
      </c>
      <c r="U12" s="27">
        <v>2025</v>
      </c>
      <c r="V12" s="27">
        <v>2026</v>
      </c>
      <c r="W12" s="27">
        <v>2027</v>
      </c>
      <c r="X12" s="27">
        <v>2028</v>
      </c>
      <c r="Y12" s="27">
        <v>2029</v>
      </c>
      <c r="Z12" s="27">
        <v>2030</v>
      </c>
      <c r="AA12" s="48" t="s">
        <v>13</v>
      </c>
      <c r="AB12" s="48" t="s">
        <v>14</v>
      </c>
      <c r="AC12" s="48" t="s">
        <v>15</v>
      </c>
      <c r="AD12" s="3"/>
      <c r="AE12" s="45">
        <v>2023</v>
      </c>
      <c r="AF12" s="45">
        <v>2024</v>
      </c>
      <c r="AG12" s="45">
        <v>2025</v>
      </c>
      <c r="AH12" s="45">
        <v>2026</v>
      </c>
      <c r="AI12" s="45">
        <v>2027</v>
      </c>
      <c r="AJ12" s="45">
        <v>2028</v>
      </c>
      <c r="AK12" s="45">
        <v>2029</v>
      </c>
      <c r="AL12" s="45">
        <v>2030</v>
      </c>
      <c r="AM12" s="45" t="s">
        <v>33</v>
      </c>
      <c r="AN12" s="45" t="s">
        <v>34</v>
      </c>
      <c r="AO12" s="45" t="s">
        <v>16</v>
      </c>
      <c r="AP12" s="45" t="s">
        <v>17</v>
      </c>
      <c r="AQ12" s="45" t="s">
        <v>18</v>
      </c>
      <c r="AR12" s="45" t="s">
        <v>19</v>
      </c>
      <c r="AS12" s="45" t="s">
        <v>20</v>
      </c>
      <c r="AT12" s="46" t="s">
        <v>21</v>
      </c>
      <c r="AU12" s="47" t="s">
        <v>22</v>
      </c>
      <c r="AV12" s="67" t="s">
        <v>23</v>
      </c>
      <c r="AW12" s="70"/>
      <c r="AX12" s="147" t="s">
        <v>59</v>
      </c>
      <c r="AY12" s="148"/>
      <c r="AZ12" s="148"/>
      <c r="BA12" s="148"/>
      <c r="BB12" s="148"/>
      <c r="BC12" s="148"/>
      <c r="BD12" s="148"/>
      <c r="BE12" s="149"/>
    </row>
    <row r="13" spans="2:58" ht="63.5" customHeight="1" x14ac:dyDescent="0.35">
      <c r="B13" s="116" t="s">
        <v>24</v>
      </c>
      <c r="C13" s="117" t="s">
        <v>25</v>
      </c>
      <c r="D13" s="118" t="s">
        <v>26</v>
      </c>
      <c r="E13" s="118" t="s">
        <v>27</v>
      </c>
      <c r="F13" s="118" t="s">
        <v>37</v>
      </c>
      <c r="G13" s="119" t="s">
        <v>86</v>
      </c>
      <c r="H13" s="120"/>
      <c r="I13" s="117"/>
      <c r="J13" s="118"/>
      <c r="K13" s="121"/>
      <c r="L13" s="122"/>
      <c r="M13" s="122"/>
      <c r="N13" s="122"/>
      <c r="O13" s="123"/>
      <c r="P13" s="118"/>
      <c r="Q13" s="119"/>
      <c r="R13" s="120"/>
      <c r="S13" s="5" t="s">
        <v>28</v>
      </c>
      <c r="T13" s="5" t="s">
        <v>28</v>
      </c>
      <c r="U13" s="31" t="s">
        <v>29</v>
      </c>
      <c r="V13" s="31" t="s">
        <v>29</v>
      </c>
      <c r="W13" s="31" t="s">
        <v>29</v>
      </c>
      <c r="X13" s="31" t="s">
        <v>29</v>
      </c>
      <c r="Y13" s="31" t="s">
        <v>29</v>
      </c>
      <c r="Z13" s="43" t="s">
        <v>30</v>
      </c>
      <c r="AA13" s="5" t="s">
        <v>31</v>
      </c>
      <c r="AB13" s="6" t="s">
        <v>40</v>
      </c>
      <c r="AC13" s="5" t="s">
        <v>41</v>
      </c>
      <c r="AD13" s="7"/>
      <c r="AE13" s="31"/>
      <c r="AF13" s="32"/>
      <c r="AG13" s="32"/>
      <c r="AH13" s="32"/>
      <c r="AI13" s="32"/>
      <c r="AJ13" s="32"/>
      <c r="AK13" s="32"/>
      <c r="AL13" s="32"/>
      <c r="AM13" s="32"/>
      <c r="AN13" s="33"/>
      <c r="AO13" s="4"/>
      <c r="AP13" s="5" t="s">
        <v>42</v>
      </c>
      <c r="AQ13" s="6"/>
      <c r="AR13" s="10" t="s">
        <v>43</v>
      </c>
      <c r="AS13" s="11"/>
      <c r="AT13" s="35" t="s">
        <v>44</v>
      </c>
      <c r="AU13" s="11"/>
      <c r="AV13" s="68"/>
      <c r="AW13" s="70"/>
      <c r="AX13" s="77">
        <v>2023</v>
      </c>
      <c r="AY13" s="76">
        <v>2024</v>
      </c>
      <c r="AZ13" s="74">
        <v>2025</v>
      </c>
      <c r="BA13" s="74">
        <v>2026</v>
      </c>
      <c r="BB13" s="74">
        <v>2027</v>
      </c>
      <c r="BC13" s="74">
        <v>2028</v>
      </c>
      <c r="BD13" s="75">
        <v>2029</v>
      </c>
      <c r="BE13" s="77">
        <v>2030</v>
      </c>
    </row>
    <row r="14" spans="2:58" x14ac:dyDescent="0.35">
      <c r="B14" s="124" t="s">
        <v>87</v>
      </c>
      <c r="C14" s="131" t="s">
        <v>88</v>
      </c>
      <c r="D14" s="131" t="s">
        <v>90</v>
      </c>
      <c r="E14" s="138" t="s">
        <v>91</v>
      </c>
      <c r="F14" s="125" t="s">
        <v>96</v>
      </c>
      <c r="G14" s="126" t="s">
        <v>84</v>
      </c>
      <c r="H14" s="127"/>
      <c r="I14" s="132">
        <v>24</v>
      </c>
      <c r="J14" s="133">
        <v>24</v>
      </c>
      <c r="K14" s="133">
        <v>24</v>
      </c>
      <c r="L14" s="133">
        <v>24</v>
      </c>
      <c r="M14" s="133">
        <v>24</v>
      </c>
      <c r="N14" s="133">
        <v>24</v>
      </c>
      <c r="O14" s="133">
        <v>24</v>
      </c>
      <c r="P14" s="139">
        <v>5</v>
      </c>
      <c r="Q14" s="134" t="s">
        <v>46</v>
      </c>
      <c r="R14" s="128"/>
      <c r="S14" s="135">
        <v>24</v>
      </c>
      <c r="T14" s="135">
        <v>24</v>
      </c>
      <c r="U14" s="135">
        <v>24</v>
      </c>
      <c r="V14" s="135">
        <v>24</v>
      </c>
      <c r="W14" s="135">
        <v>24</v>
      </c>
      <c r="X14" s="135">
        <v>24</v>
      </c>
      <c r="Y14" s="135">
        <v>24</v>
      </c>
      <c r="Z14" s="79"/>
      <c r="AA14" s="135">
        <v>5</v>
      </c>
      <c r="AB14" s="136" t="s">
        <v>46</v>
      </c>
      <c r="AC14" s="80"/>
      <c r="AD14" s="81"/>
      <c r="AE14" s="82"/>
      <c r="AF14" s="82"/>
      <c r="AG14" s="82"/>
      <c r="AH14" s="82"/>
      <c r="AI14" s="82"/>
      <c r="AJ14" s="82"/>
      <c r="AK14" s="82"/>
      <c r="AL14" s="82"/>
      <c r="AM14" s="83"/>
      <c r="AN14" s="83"/>
      <c r="AO14" s="84"/>
      <c r="AP14" s="85" t="str">
        <f t="shared" ref="AP14" si="0">IF(AO14="نعم", "أضف المبررات هنا", "")</f>
        <v/>
      </c>
      <c r="AQ14" s="84" t="str">
        <f t="shared" ref="AQ14" si="1">IF(OR(P14="", AA14=""), "", IF(P14&lt;&gt;AA14, "نعم", "لا"))</f>
        <v>لا</v>
      </c>
      <c r="AR14" s="85" t="str">
        <f t="shared" ref="AR14" si="2">IF(AQ14="نعم", "[أضف المبررات هنا]", "")</f>
        <v/>
      </c>
      <c r="AS14" s="86" t="str">
        <f t="shared" ref="AS14" si="3">IF(OR(Q14="", AB14=""), "", IF(Q14&lt;&gt;AB14, "نعم", "لا"))</f>
        <v>لا</v>
      </c>
      <c r="AT14" s="87" t="str">
        <f t="shared" ref="AT14" si="4">IF(AS14="نعم", "[أضف المبررات هنا]", "")</f>
        <v/>
      </c>
      <c r="AU14" s="88"/>
      <c r="AV14" s="89"/>
      <c r="AW14" s="90"/>
      <c r="AX14" s="91" cm="1">
        <f t="array" ref="AX14">IFERROR(_xlfn.IFS($AB14="عدد الموظفين/الوحدة",S14*$AA14,$AB14='طريقة الحساب'!$B$2,S14*$AA14/الافتراضات!$B$27,$AB14='طريقة الحساب'!$B$3,S14*$AA14/الافتراضات!$B$26,$AB14='طريقة الحساب'!$B$4,S14*$AA14/الافتراضات!$B$28),"")</f>
        <v>0.62176165803108807</v>
      </c>
      <c r="AY14" s="91" cm="1">
        <f t="array" ref="AY14">IFERROR(_xlfn.IFS($AB14="عدد الموظفين/الوحدة",T14*$AA14,$AB14='طريقة الحساب'!$B$2,T14*$AA14/الافتراضات!$B$27,$AB14='طريقة الحساب'!$B$3,T14*$AA14/الافتراضات!$B$26,$AB14='طريقة الحساب'!$B$4,T14*$AA14/الافتراضات!$B$28),"")</f>
        <v>0.62176165803108807</v>
      </c>
      <c r="AZ14" s="91" cm="1">
        <f t="array" ref="AZ14">IFERROR(_xlfn.IFS($AB14="عدد الموظفين/الوحدة",U14*$AA14,$AB14='طريقة الحساب'!$B$2,U14*$AA14/الافتراضات!$B$27,$AB14='طريقة الحساب'!$B$3,U14*$AA14/الافتراضات!$B$26,$AB14='طريقة الحساب'!$B$4,U14*$AA14/الافتراضات!$B$28),"")</f>
        <v>0.62176165803108807</v>
      </c>
      <c r="BA14" s="91" cm="1">
        <f t="array" ref="BA14">IFERROR(_xlfn.IFS($AB14="عدد الموظفين/الوحدة",V14*$AA14,$AB14='طريقة الحساب'!$B$2,V14*$AA14/الافتراضات!$B$27,$AB14='طريقة الحساب'!$B$3,V14*$AA14/الافتراضات!$B$26,$AB14='طريقة الحساب'!$B$4,V14*$AA14/الافتراضات!$B$28),"")</f>
        <v>0.62176165803108807</v>
      </c>
      <c r="BB14" s="91" cm="1">
        <f t="array" ref="BB14">IFERROR(_xlfn.IFS($AB14="عدد الموظفين/الوحدة",W14*$AA14,$AB14='طريقة الحساب'!$B$2,W14*$AA14/الافتراضات!$B$27,$AB14='طريقة الحساب'!$B$3,W14*$AA14/الافتراضات!$B$26,$AB14='طريقة الحساب'!$B$4,W14*$AA14/الافتراضات!$B$28),"")</f>
        <v>0.62176165803108807</v>
      </c>
      <c r="BC14" s="91" cm="1">
        <f t="array" ref="BC14">IFERROR(_xlfn.IFS($AB14="عدد الموظفين/الوحدة",X14*$AA14,$AB14='طريقة الحساب'!$B$2,X14*$AA14/الافتراضات!$B$27,$AB14='طريقة الحساب'!$B$3,X14*$AA14/الافتراضات!$B$26,$AB14='طريقة الحساب'!$B$4,X14*$AA14/الافتراضات!$B$28),"")</f>
        <v>0.62176165803108807</v>
      </c>
      <c r="BD14" s="91" cm="1">
        <f t="array" ref="BD14">IFERROR(_xlfn.IFS($AB14="عدد الموظفين/الوحدة",Y14*$AA14,$AB14='طريقة الحساب'!$B$2,Y14*$AA14/الافتراضات!$B$27,$AB14='طريقة الحساب'!$B$3,Y14*$AA14/الافتراضات!$B$26,$AB14='طريقة الحساب'!$B$4,Y14*$AA14/الافتراضات!$B$28),"")</f>
        <v>0.62176165803108807</v>
      </c>
      <c r="BE14" s="91" cm="1">
        <f t="array" ref="BE14">IFERROR(_xlfn.IFS($AB14="عدد الموظفين/الوحدة",Z14*$AA14,$AB14='طريقة الحساب'!$B$2,Z14*$AA14/الافتراضات!$B$27,$AB14='طريقة الحساب'!$B$3,Z14*$AA14/الافتراضات!$B$26,$AB14='طريقة الحساب'!$B$4,Z14*$AA14/الافتراضات!$B$28),"")</f>
        <v>0</v>
      </c>
      <c r="BF14" s="92"/>
    </row>
    <row r="15" spans="2:58" x14ac:dyDescent="0.35">
      <c r="B15" s="124" t="s">
        <v>87</v>
      </c>
      <c r="C15" s="131" t="s">
        <v>88</v>
      </c>
      <c r="D15" s="131" t="s">
        <v>90</v>
      </c>
      <c r="E15" s="138" t="s">
        <v>91</v>
      </c>
      <c r="F15" s="125" t="s">
        <v>97</v>
      </c>
      <c r="G15" s="126" t="s">
        <v>84</v>
      </c>
      <c r="H15" s="127"/>
      <c r="I15" s="132">
        <v>24</v>
      </c>
      <c r="J15" s="133">
        <v>24</v>
      </c>
      <c r="K15" s="133">
        <v>24</v>
      </c>
      <c r="L15" s="133">
        <v>24</v>
      </c>
      <c r="M15" s="133">
        <v>24</v>
      </c>
      <c r="N15" s="133">
        <v>24</v>
      </c>
      <c r="O15" s="133">
        <v>24</v>
      </c>
      <c r="P15" s="139">
        <v>3</v>
      </c>
      <c r="Q15" s="134" t="s">
        <v>46</v>
      </c>
      <c r="R15" s="128"/>
      <c r="S15" s="135">
        <v>24</v>
      </c>
      <c r="T15" s="135">
        <v>24</v>
      </c>
      <c r="U15" s="135">
        <v>24</v>
      </c>
      <c r="V15" s="135">
        <v>24</v>
      </c>
      <c r="W15" s="135">
        <v>24</v>
      </c>
      <c r="X15" s="135">
        <v>24</v>
      </c>
      <c r="Y15" s="135">
        <v>24</v>
      </c>
      <c r="Z15" s="79"/>
      <c r="AA15" s="135">
        <v>3</v>
      </c>
      <c r="AB15" s="136" t="s">
        <v>46</v>
      </c>
      <c r="AC15" s="80"/>
      <c r="AD15" s="81"/>
      <c r="AE15" s="82"/>
      <c r="AF15" s="82"/>
      <c r="AG15" s="82"/>
      <c r="AH15" s="82"/>
      <c r="AI15" s="82"/>
      <c r="AJ15" s="82"/>
      <c r="AK15" s="82"/>
      <c r="AL15" s="82"/>
      <c r="AM15" s="83"/>
      <c r="AN15" s="83"/>
      <c r="AO15" s="84"/>
      <c r="AP15" s="85" t="str">
        <f t="shared" ref="AP15:AP202" si="5">IF(AO15="نعم", "أضف المبررات هنا", "")</f>
        <v/>
      </c>
      <c r="AQ15" s="84" t="str">
        <f t="shared" ref="AO15:AQ202" si="6">IF(OR(P15="", AA15=""), "", IF(P15&lt;&gt;AA15, "نعم", "لا"))</f>
        <v>لا</v>
      </c>
      <c r="AR15" s="85" t="str">
        <f t="shared" ref="AR15:AR202" si="7">IF(AQ15="نعم", "[أضف المبررات هنا]", "")</f>
        <v/>
      </c>
      <c r="AS15" s="86" t="str">
        <f t="shared" ref="AS15:AS202" si="8">IF(OR(Q15="", AB15=""), "", IF(Q15&lt;&gt;AB15, "نعم", "لا"))</f>
        <v>لا</v>
      </c>
      <c r="AT15" s="87" t="str">
        <f t="shared" ref="AT15:AT202" si="9">IF(AS15="نعم", "[أضف المبررات هنا]", "")</f>
        <v/>
      </c>
      <c r="AU15" s="88"/>
      <c r="AV15" s="89"/>
      <c r="AW15" s="90"/>
      <c r="AX15" s="91" cm="1">
        <f t="array" ref="AX15">IFERROR(_xlfn.IFS($AB15="عدد الموظفين/الوحدة",S15*$AA15,$AB15='طريقة الحساب'!$B$2,S15*$AA15/الافتراضات!$B$27,$AB15='طريقة الحساب'!$B$3,S15*$AA15/الافتراضات!$B$26,$AB15='طريقة الحساب'!$B$4,S15*$AA15/الافتراضات!$B$28),"")</f>
        <v>0.37305699481865284</v>
      </c>
      <c r="AY15" s="91" cm="1">
        <f t="array" ref="AY15">IFERROR(_xlfn.IFS($AB15="عدد الموظفين/الوحدة",T15*$AA15,$AB15='طريقة الحساب'!$B$2,T15*$AA15/الافتراضات!$B$27,$AB15='طريقة الحساب'!$B$3,T15*$AA15/الافتراضات!$B$26,$AB15='طريقة الحساب'!$B$4,T15*$AA15/الافتراضات!$B$28),"")</f>
        <v>0.37305699481865284</v>
      </c>
      <c r="AZ15" s="91" cm="1">
        <f t="array" ref="AZ15">IFERROR(_xlfn.IFS($AB15="عدد الموظفين/الوحدة",U15*$AA15,$AB15='طريقة الحساب'!$B$2,U15*$AA15/الافتراضات!$B$27,$AB15='طريقة الحساب'!$B$3,U15*$AA15/الافتراضات!$B$26,$AB15='طريقة الحساب'!$B$4,U15*$AA15/الافتراضات!$B$28),"")</f>
        <v>0.37305699481865284</v>
      </c>
      <c r="BA15" s="91" cm="1">
        <f t="array" ref="BA15">IFERROR(_xlfn.IFS($AB15="عدد الموظفين/الوحدة",V15*$AA15,$AB15='طريقة الحساب'!$B$2,V15*$AA15/الافتراضات!$B$27,$AB15='طريقة الحساب'!$B$3,V15*$AA15/الافتراضات!$B$26,$AB15='طريقة الحساب'!$B$4,V15*$AA15/الافتراضات!$B$28),"")</f>
        <v>0.37305699481865284</v>
      </c>
      <c r="BB15" s="91" cm="1">
        <f t="array" ref="BB15">IFERROR(_xlfn.IFS($AB15="عدد الموظفين/الوحدة",W15*$AA15,$AB15='طريقة الحساب'!$B$2,W15*$AA15/الافتراضات!$B$27,$AB15='طريقة الحساب'!$B$3,W15*$AA15/الافتراضات!$B$26,$AB15='طريقة الحساب'!$B$4,W15*$AA15/الافتراضات!$B$28),"")</f>
        <v>0.37305699481865284</v>
      </c>
      <c r="BC15" s="91" cm="1">
        <f t="array" ref="BC15">IFERROR(_xlfn.IFS($AB15="عدد الموظفين/الوحدة",X15*$AA15,$AB15='طريقة الحساب'!$B$2,X15*$AA15/الافتراضات!$B$27,$AB15='طريقة الحساب'!$B$3,X15*$AA15/الافتراضات!$B$26,$AB15='طريقة الحساب'!$B$4,X15*$AA15/الافتراضات!$B$28),"")</f>
        <v>0.37305699481865284</v>
      </c>
      <c r="BD15" s="91" cm="1">
        <f t="array" ref="BD15">IFERROR(_xlfn.IFS($AB15="عدد الموظفين/الوحدة",Y15*$AA15,$AB15='طريقة الحساب'!$B$2,Y15*$AA15/الافتراضات!$B$27,$AB15='طريقة الحساب'!$B$3,Y15*$AA15/الافتراضات!$B$26,$AB15='طريقة الحساب'!$B$4,Y15*$AA15/الافتراضات!$B$28),"")</f>
        <v>0.37305699481865284</v>
      </c>
      <c r="BE15" s="91" cm="1">
        <f t="array" ref="BE15">IFERROR(_xlfn.IFS($AB15="عدد الموظفين/الوحدة",Z15*$AA15,$AB15='طريقة الحساب'!$B$2,Z15*$AA15/الافتراضات!$B$27,$AB15='طريقة الحساب'!$B$3,Z15*$AA15/الافتراضات!$B$26,$AB15='طريقة الحساب'!$B$4,Z15*$AA15/الافتراضات!$B$28),"")</f>
        <v>0</v>
      </c>
      <c r="BF15" s="92"/>
    </row>
    <row r="16" spans="2:58" x14ac:dyDescent="0.35">
      <c r="B16" s="124" t="s">
        <v>87</v>
      </c>
      <c r="C16" s="131" t="s">
        <v>88</v>
      </c>
      <c r="D16" s="131" t="s">
        <v>90</v>
      </c>
      <c r="E16" s="138" t="s">
        <v>91</v>
      </c>
      <c r="F16" s="125" t="s">
        <v>98</v>
      </c>
      <c r="G16" s="126" t="s">
        <v>84</v>
      </c>
      <c r="H16" s="127"/>
      <c r="I16" s="132">
        <v>1</v>
      </c>
      <c r="J16" s="133">
        <v>1</v>
      </c>
      <c r="K16" s="133">
        <v>1</v>
      </c>
      <c r="L16" s="133">
        <v>1</v>
      </c>
      <c r="M16" s="133">
        <v>1</v>
      </c>
      <c r="N16" s="133">
        <v>1</v>
      </c>
      <c r="O16" s="133">
        <v>1</v>
      </c>
      <c r="P16" s="139">
        <v>30</v>
      </c>
      <c r="Q16" s="134" t="s">
        <v>46</v>
      </c>
      <c r="R16" s="128"/>
      <c r="S16" s="135">
        <v>1</v>
      </c>
      <c r="T16" s="135">
        <v>1</v>
      </c>
      <c r="U16" s="135">
        <v>1</v>
      </c>
      <c r="V16" s="135">
        <v>1</v>
      </c>
      <c r="W16" s="135">
        <v>1</v>
      </c>
      <c r="X16" s="135">
        <v>1</v>
      </c>
      <c r="Y16" s="135">
        <v>1</v>
      </c>
      <c r="Z16" s="79"/>
      <c r="AA16" s="135">
        <v>30</v>
      </c>
      <c r="AB16" s="136" t="s">
        <v>46</v>
      </c>
      <c r="AC16" s="80"/>
      <c r="AD16" s="81"/>
      <c r="AE16" s="82"/>
      <c r="AF16" s="82"/>
      <c r="AG16" s="82"/>
      <c r="AH16" s="82"/>
      <c r="AI16" s="82"/>
      <c r="AJ16" s="82"/>
      <c r="AK16" s="82"/>
      <c r="AL16" s="82"/>
      <c r="AM16" s="83"/>
      <c r="AN16" s="83"/>
      <c r="AO16" s="84" t="str">
        <f t="shared" si="6"/>
        <v>لا</v>
      </c>
      <c r="AP16" s="85" t="str">
        <f t="shared" si="5"/>
        <v/>
      </c>
      <c r="AQ16" s="84" t="str">
        <f t="shared" si="6"/>
        <v>لا</v>
      </c>
      <c r="AR16" s="85" t="str">
        <f t="shared" si="7"/>
        <v/>
      </c>
      <c r="AS16" s="86" t="str">
        <f t="shared" si="8"/>
        <v>لا</v>
      </c>
      <c r="AT16" s="87" t="str">
        <f t="shared" si="9"/>
        <v/>
      </c>
      <c r="AU16" s="88"/>
      <c r="AV16" s="89"/>
      <c r="AW16" s="90"/>
      <c r="AX16" s="91" cm="1">
        <f t="array" ref="AX16">IFERROR(_xlfn.IFS($AB16="عدد الموظفين/الوحدة",S16*$AA16,$AB16='طريقة الحساب'!$B$2,S16*$AA16/الافتراضات!$B$27,$AB16='طريقة الحساب'!$B$3,S16*$AA16/الافتراضات!$B$26,$AB16='طريقة الحساب'!$B$4,S16*$AA16/الافتراضات!$B$28),"")</f>
        <v>0.15544041450777202</v>
      </c>
      <c r="AY16" s="91" cm="1">
        <f t="array" ref="AY16">IFERROR(_xlfn.IFS($AB16="عدد الموظفين/الوحدة",T16*$AA16,$AB16='طريقة الحساب'!$B$2,T16*$AA16/الافتراضات!$B$27,$AB16='طريقة الحساب'!$B$3,T16*$AA16/الافتراضات!$B$26,$AB16='طريقة الحساب'!$B$4,T16*$AA16/الافتراضات!$B$28),"")</f>
        <v>0.15544041450777202</v>
      </c>
      <c r="AZ16" s="91" cm="1">
        <f t="array" ref="AZ16">IFERROR(_xlfn.IFS($AB16="عدد الموظفين/الوحدة",U16*$AA16,$AB16='طريقة الحساب'!$B$2,U16*$AA16/الافتراضات!$B$27,$AB16='طريقة الحساب'!$B$3,U16*$AA16/الافتراضات!$B$26,$AB16='طريقة الحساب'!$B$4,U16*$AA16/الافتراضات!$B$28),"")</f>
        <v>0.15544041450777202</v>
      </c>
      <c r="BA16" s="91" cm="1">
        <f t="array" ref="BA16">IFERROR(_xlfn.IFS($AB16="عدد الموظفين/الوحدة",V16*$AA16,$AB16='طريقة الحساب'!$B$2,V16*$AA16/الافتراضات!$B$27,$AB16='طريقة الحساب'!$B$3,V16*$AA16/الافتراضات!$B$26,$AB16='طريقة الحساب'!$B$4,V16*$AA16/الافتراضات!$B$28),"")</f>
        <v>0.15544041450777202</v>
      </c>
      <c r="BB16" s="91" cm="1">
        <f t="array" ref="BB16">IFERROR(_xlfn.IFS($AB16="عدد الموظفين/الوحدة",W16*$AA16,$AB16='طريقة الحساب'!$B$2,W16*$AA16/الافتراضات!$B$27,$AB16='طريقة الحساب'!$B$3,W16*$AA16/الافتراضات!$B$26,$AB16='طريقة الحساب'!$B$4,W16*$AA16/الافتراضات!$B$28),"")</f>
        <v>0.15544041450777202</v>
      </c>
      <c r="BC16" s="91" cm="1">
        <f t="array" ref="BC16">IFERROR(_xlfn.IFS($AB16="عدد الموظفين/الوحدة",X16*$AA16,$AB16='طريقة الحساب'!$B$2,X16*$AA16/الافتراضات!$B$27,$AB16='طريقة الحساب'!$B$3,X16*$AA16/الافتراضات!$B$26,$AB16='طريقة الحساب'!$B$4,X16*$AA16/الافتراضات!$B$28),"")</f>
        <v>0.15544041450777202</v>
      </c>
      <c r="BD16" s="91" cm="1">
        <f t="array" ref="BD16">IFERROR(_xlfn.IFS($AB16="عدد الموظفين/الوحدة",Y16*$AA16,$AB16='طريقة الحساب'!$B$2,Y16*$AA16/الافتراضات!$B$27,$AB16='طريقة الحساب'!$B$3,Y16*$AA16/الافتراضات!$B$26,$AB16='طريقة الحساب'!$B$4,Y16*$AA16/الافتراضات!$B$28),"")</f>
        <v>0.15544041450777202</v>
      </c>
      <c r="BE16" s="91" cm="1">
        <f t="array" ref="BE16">IFERROR(_xlfn.IFS($AB16="عدد الموظفين/الوحدة",Z16*$AA16,$AB16='طريقة الحساب'!$B$2,Z16*$AA16/الافتراضات!$B$27,$AB16='طريقة الحساب'!$B$3,Z16*$AA16/الافتراضات!$B$26,$AB16='طريقة الحساب'!$B$4,Z16*$AA16/الافتراضات!$B$28),"")</f>
        <v>0</v>
      </c>
      <c r="BF16" s="92"/>
    </row>
    <row r="17" spans="2:58" x14ac:dyDescent="0.35">
      <c r="B17" s="124" t="s">
        <v>87</v>
      </c>
      <c r="C17" s="131" t="s">
        <v>88</v>
      </c>
      <c r="D17" s="131" t="s">
        <v>90</v>
      </c>
      <c r="E17" s="138" t="s">
        <v>91</v>
      </c>
      <c r="F17" s="125" t="s">
        <v>99</v>
      </c>
      <c r="G17" s="126" t="s">
        <v>84</v>
      </c>
      <c r="H17" s="127"/>
      <c r="I17" s="132">
        <v>5</v>
      </c>
      <c r="J17" s="133">
        <v>5</v>
      </c>
      <c r="K17" s="133">
        <v>5</v>
      </c>
      <c r="L17" s="133">
        <v>5</v>
      </c>
      <c r="M17" s="133">
        <v>5</v>
      </c>
      <c r="N17" s="133">
        <v>5</v>
      </c>
      <c r="O17" s="133">
        <v>5</v>
      </c>
      <c r="P17" s="139">
        <v>60</v>
      </c>
      <c r="Q17" s="134" t="s">
        <v>46</v>
      </c>
      <c r="R17" s="128"/>
      <c r="S17" s="135">
        <v>5</v>
      </c>
      <c r="T17" s="135">
        <v>5</v>
      </c>
      <c r="U17" s="135">
        <v>5</v>
      </c>
      <c r="V17" s="135">
        <v>5</v>
      </c>
      <c r="W17" s="135">
        <v>5</v>
      </c>
      <c r="X17" s="135">
        <v>5</v>
      </c>
      <c r="Y17" s="135">
        <v>5</v>
      </c>
      <c r="Z17" s="79"/>
      <c r="AA17" s="135">
        <v>60</v>
      </c>
      <c r="AB17" s="136" t="s">
        <v>46</v>
      </c>
      <c r="AC17" s="80"/>
      <c r="AD17" s="81"/>
      <c r="AE17" s="82"/>
      <c r="AF17" s="82"/>
      <c r="AG17" s="82"/>
      <c r="AH17" s="82"/>
      <c r="AI17" s="82"/>
      <c r="AJ17" s="82"/>
      <c r="AK17" s="82"/>
      <c r="AL17" s="82"/>
      <c r="AM17" s="83"/>
      <c r="AN17" s="83"/>
      <c r="AO17" s="84" t="str">
        <f t="shared" si="6"/>
        <v>لا</v>
      </c>
      <c r="AP17" s="85" t="str">
        <f t="shared" si="5"/>
        <v/>
      </c>
      <c r="AQ17" s="84" t="str">
        <f t="shared" si="6"/>
        <v>لا</v>
      </c>
      <c r="AR17" s="85" t="str">
        <f t="shared" si="7"/>
        <v/>
      </c>
      <c r="AS17" s="86" t="str">
        <f t="shared" si="8"/>
        <v>لا</v>
      </c>
      <c r="AT17" s="87" t="str">
        <f t="shared" si="9"/>
        <v/>
      </c>
      <c r="AU17" s="88"/>
      <c r="AV17" s="89"/>
      <c r="AW17" s="90"/>
      <c r="AX17" s="91" cm="1">
        <f t="array" ref="AX17">IFERROR(_xlfn.IFS($AB17="عدد الموظفين/الوحدة",S17*$AA17,$AB17='طريقة الحساب'!$B$2,S17*$AA17/الافتراضات!$B$27,$AB17='طريقة الحساب'!$B$3,S17*$AA17/الافتراضات!$B$26,$AB17='طريقة الحساب'!$B$4,S17*$AA17/الافتراضات!$B$28),"")</f>
        <v>1.5544041450777202</v>
      </c>
      <c r="AY17" s="91" cm="1">
        <f t="array" ref="AY17">IFERROR(_xlfn.IFS($AB17="عدد الموظفين/الوحدة",T17*$AA17,$AB17='طريقة الحساب'!$B$2,T17*$AA17/الافتراضات!$B$27,$AB17='طريقة الحساب'!$B$3,T17*$AA17/الافتراضات!$B$26,$AB17='طريقة الحساب'!$B$4,T17*$AA17/الافتراضات!$B$28),"")</f>
        <v>1.5544041450777202</v>
      </c>
      <c r="AZ17" s="91" cm="1">
        <f t="array" ref="AZ17">IFERROR(_xlfn.IFS($AB17="عدد الموظفين/الوحدة",U17*$AA17,$AB17='طريقة الحساب'!$B$2,U17*$AA17/الافتراضات!$B$27,$AB17='طريقة الحساب'!$B$3,U17*$AA17/الافتراضات!$B$26,$AB17='طريقة الحساب'!$B$4,U17*$AA17/الافتراضات!$B$28),"")</f>
        <v>1.5544041450777202</v>
      </c>
      <c r="BA17" s="91" cm="1">
        <f t="array" ref="BA17">IFERROR(_xlfn.IFS($AB17="عدد الموظفين/الوحدة",V17*$AA17,$AB17='طريقة الحساب'!$B$2,V17*$AA17/الافتراضات!$B$27,$AB17='طريقة الحساب'!$B$3,V17*$AA17/الافتراضات!$B$26,$AB17='طريقة الحساب'!$B$4,V17*$AA17/الافتراضات!$B$28),"")</f>
        <v>1.5544041450777202</v>
      </c>
      <c r="BB17" s="91" cm="1">
        <f t="array" ref="BB17">IFERROR(_xlfn.IFS($AB17="عدد الموظفين/الوحدة",W17*$AA17,$AB17='طريقة الحساب'!$B$2,W17*$AA17/الافتراضات!$B$27,$AB17='طريقة الحساب'!$B$3,W17*$AA17/الافتراضات!$B$26,$AB17='طريقة الحساب'!$B$4,W17*$AA17/الافتراضات!$B$28),"")</f>
        <v>1.5544041450777202</v>
      </c>
      <c r="BC17" s="91" cm="1">
        <f t="array" ref="BC17">IFERROR(_xlfn.IFS($AB17="عدد الموظفين/الوحدة",X17*$AA17,$AB17='طريقة الحساب'!$B$2,X17*$AA17/الافتراضات!$B$27,$AB17='طريقة الحساب'!$B$3,X17*$AA17/الافتراضات!$B$26,$AB17='طريقة الحساب'!$B$4,X17*$AA17/الافتراضات!$B$28),"")</f>
        <v>1.5544041450777202</v>
      </c>
      <c r="BD17" s="91" cm="1">
        <f t="array" ref="BD17">IFERROR(_xlfn.IFS($AB17="عدد الموظفين/الوحدة",Y17*$AA17,$AB17='طريقة الحساب'!$B$2,Y17*$AA17/الافتراضات!$B$27,$AB17='طريقة الحساب'!$B$3,Y17*$AA17/الافتراضات!$B$26,$AB17='طريقة الحساب'!$B$4,Y17*$AA17/الافتراضات!$B$28),"")</f>
        <v>1.5544041450777202</v>
      </c>
      <c r="BE17" s="91" cm="1">
        <f t="array" ref="BE17">IFERROR(_xlfn.IFS($AB17="عدد الموظفين/الوحدة",Z17*$AA17,$AB17='طريقة الحساب'!$B$2,Z17*$AA17/الافتراضات!$B$27,$AB17='طريقة الحساب'!$B$3,Z17*$AA17/الافتراضات!$B$26,$AB17='طريقة الحساب'!$B$4,Z17*$AA17/الافتراضات!$B$28),"")</f>
        <v>0</v>
      </c>
      <c r="BF17" s="92"/>
    </row>
    <row r="18" spans="2:58" x14ac:dyDescent="0.35">
      <c r="B18" s="124" t="s">
        <v>87</v>
      </c>
      <c r="C18" s="131" t="s">
        <v>88</v>
      </c>
      <c r="D18" s="131" t="s">
        <v>90</v>
      </c>
      <c r="E18" s="138" t="s">
        <v>91</v>
      </c>
      <c r="F18" s="125" t="s">
        <v>100</v>
      </c>
      <c r="G18" s="126" t="s">
        <v>84</v>
      </c>
      <c r="H18" s="127"/>
      <c r="I18" s="132">
        <v>348</v>
      </c>
      <c r="J18" s="133">
        <v>400</v>
      </c>
      <c r="K18" s="133">
        <v>430</v>
      </c>
      <c r="L18" s="133">
        <v>460</v>
      </c>
      <c r="M18" s="133">
        <v>490</v>
      </c>
      <c r="N18" s="133">
        <v>520</v>
      </c>
      <c r="O18" s="133">
        <v>520</v>
      </c>
      <c r="P18" s="139">
        <v>1</v>
      </c>
      <c r="Q18" s="134" t="s">
        <v>46</v>
      </c>
      <c r="R18" s="128"/>
      <c r="S18" s="135">
        <v>348</v>
      </c>
      <c r="T18" s="135">
        <v>400</v>
      </c>
      <c r="U18" s="135">
        <v>430</v>
      </c>
      <c r="V18" s="135">
        <v>460</v>
      </c>
      <c r="W18" s="135">
        <v>490</v>
      </c>
      <c r="X18" s="135">
        <v>520</v>
      </c>
      <c r="Y18" s="135">
        <v>520</v>
      </c>
      <c r="Z18" s="79"/>
      <c r="AA18" s="135">
        <v>1</v>
      </c>
      <c r="AB18" s="136" t="s">
        <v>46</v>
      </c>
      <c r="AC18" s="80"/>
      <c r="AD18" s="81"/>
      <c r="AE18" s="82"/>
      <c r="AF18" s="82"/>
      <c r="AG18" s="82"/>
      <c r="AH18" s="82"/>
      <c r="AI18" s="82"/>
      <c r="AJ18" s="82"/>
      <c r="AK18" s="82"/>
      <c r="AL18" s="82"/>
      <c r="AM18" s="83"/>
      <c r="AN18" s="83"/>
      <c r="AO18" s="84" t="str">
        <f t="shared" si="6"/>
        <v>لا</v>
      </c>
      <c r="AP18" s="85" t="str">
        <f t="shared" si="5"/>
        <v/>
      </c>
      <c r="AQ18" s="84" t="str">
        <f t="shared" si="6"/>
        <v>لا</v>
      </c>
      <c r="AR18" s="85" t="str">
        <f t="shared" si="7"/>
        <v/>
      </c>
      <c r="AS18" s="86" t="str">
        <f t="shared" si="8"/>
        <v>لا</v>
      </c>
      <c r="AT18" s="87" t="str">
        <f t="shared" si="9"/>
        <v/>
      </c>
      <c r="AU18" s="88"/>
      <c r="AV18" s="89"/>
      <c r="AW18" s="90"/>
      <c r="AX18" s="91" cm="1">
        <f t="array" ref="AX18">IFERROR(_xlfn.IFS($AB18="عدد الموظفين/الوحدة",S18*$AA18,$AB18='طريقة الحساب'!$B$2,S18*$AA18/الافتراضات!$B$27,$AB18='طريقة الحساب'!$B$3,S18*$AA18/الافتراضات!$B$26,$AB18='طريقة الحساب'!$B$4,S18*$AA18/الافتراضات!$B$28),"")</f>
        <v>1.8031088082901554</v>
      </c>
      <c r="AY18" s="91" cm="1">
        <f t="array" ref="AY18">IFERROR(_xlfn.IFS($AB18="عدد الموظفين/الوحدة",T18*$AA18,$AB18='طريقة الحساب'!$B$2,T18*$AA18/الافتراضات!$B$27,$AB18='طريقة الحساب'!$B$3,T18*$AA18/الافتراضات!$B$26,$AB18='طريقة الحساب'!$B$4,T18*$AA18/الافتراضات!$B$28),"")</f>
        <v>2.0725388601036268</v>
      </c>
      <c r="AZ18" s="91" cm="1">
        <f t="array" ref="AZ18">IFERROR(_xlfn.IFS($AB18="عدد الموظفين/الوحدة",U18*$AA18,$AB18='طريقة الحساب'!$B$2,U18*$AA18/الافتراضات!$B$27,$AB18='طريقة الحساب'!$B$3,U18*$AA18/الافتراضات!$B$26,$AB18='طريقة الحساب'!$B$4,U18*$AA18/الافتراضات!$B$28),"")</f>
        <v>2.2279792746113989</v>
      </c>
      <c r="BA18" s="91" cm="1">
        <f t="array" ref="BA18">IFERROR(_xlfn.IFS($AB18="عدد الموظفين/الوحدة",V18*$AA18,$AB18='طريقة الحساب'!$B$2,V18*$AA18/الافتراضات!$B$27,$AB18='طريقة الحساب'!$B$3,V18*$AA18/الافتراضات!$B$26,$AB18='طريقة الحساب'!$B$4,V18*$AA18/الافتراضات!$B$28),"")</f>
        <v>2.383419689119171</v>
      </c>
      <c r="BB18" s="91" cm="1">
        <f t="array" ref="BB18">IFERROR(_xlfn.IFS($AB18="عدد الموظفين/الوحدة",W18*$AA18,$AB18='طريقة الحساب'!$B$2,W18*$AA18/الافتراضات!$B$27,$AB18='طريقة الحساب'!$B$3,W18*$AA18/الافتراضات!$B$26,$AB18='طريقة الحساب'!$B$4,W18*$AA18/الافتراضات!$B$28),"")</f>
        <v>2.5388601036269431</v>
      </c>
      <c r="BC18" s="91" cm="1">
        <f t="array" ref="BC18">IFERROR(_xlfn.IFS($AB18="عدد الموظفين/الوحدة",X18*$AA18,$AB18='طريقة الحساب'!$B$2,X18*$AA18/الافتراضات!$B$27,$AB18='طريقة الحساب'!$B$3,X18*$AA18/الافتراضات!$B$26,$AB18='طريقة الحساب'!$B$4,X18*$AA18/الافتراضات!$B$28),"")</f>
        <v>2.6943005181347148</v>
      </c>
      <c r="BD18" s="91" cm="1">
        <f t="array" ref="BD18">IFERROR(_xlfn.IFS($AB18="عدد الموظفين/الوحدة",Y18*$AA18,$AB18='طريقة الحساب'!$B$2,Y18*$AA18/الافتراضات!$B$27,$AB18='طريقة الحساب'!$B$3,Y18*$AA18/الافتراضات!$B$26,$AB18='طريقة الحساب'!$B$4,Y18*$AA18/الافتراضات!$B$28),"")</f>
        <v>2.6943005181347148</v>
      </c>
      <c r="BE18" s="91" cm="1">
        <f t="array" ref="BE18">IFERROR(_xlfn.IFS($AB18="عدد الموظفين/الوحدة",Z18*$AA18,$AB18='طريقة الحساب'!$B$2,Z18*$AA18/الافتراضات!$B$27,$AB18='طريقة الحساب'!$B$3,Z18*$AA18/الافتراضات!$B$26,$AB18='طريقة الحساب'!$B$4,Z18*$AA18/الافتراضات!$B$28),"")</f>
        <v>0</v>
      </c>
      <c r="BF18" s="92"/>
    </row>
    <row r="19" spans="2:58" x14ac:dyDescent="0.35">
      <c r="B19" s="124" t="s">
        <v>87</v>
      </c>
      <c r="C19" s="131" t="s">
        <v>88</v>
      </c>
      <c r="D19" s="131" t="s">
        <v>90</v>
      </c>
      <c r="E19" s="138" t="s">
        <v>91</v>
      </c>
      <c r="F19" s="125" t="s">
        <v>101</v>
      </c>
      <c r="G19" s="126" t="s">
        <v>84</v>
      </c>
      <c r="H19" s="127"/>
      <c r="I19" s="132">
        <v>2918</v>
      </c>
      <c r="J19" s="133">
        <v>4200</v>
      </c>
      <c r="K19" s="133">
        <v>4200</v>
      </c>
      <c r="L19" s="133">
        <v>4200</v>
      </c>
      <c r="M19" s="133">
        <v>4200</v>
      </c>
      <c r="N19" s="133">
        <v>4200</v>
      </c>
      <c r="O19" s="133">
        <v>4200</v>
      </c>
      <c r="P19" s="139">
        <v>10</v>
      </c>
      <c r="Q19" s="134" t="s">
        <v>45</v>
      </c>
      <c r="R19" s="128"/>
      <c r="S19" s="135">
        <v>2918</v>
      </c>
      <c r="T19" s="135">
        <v>4200</v>
      </c>
      <c r="U19" s="135">
        <v>4200</v>
      </c>
      <c r="V19" s="135">
        <v>4200</v>
      </c>
      <c r="W19" s="135">
        <v>4200</v>
      </c>
      <c r="X19" s="135">
        <v>4200</v>
      </c>
      <c r="Y19" s="135">
        <v>4200</v>
      </c>
      <c r="Z19" s="79"/>
      <c r="AA19" s="135">
        <v>10</v>
      </c>
      <c r="AB19" s="136" t="s">
        <v>45</v>
      </c>
      <c r="AC19" s="80"/>
      <c r="AD19" s="81"/>
      <c r="AE19" s="82"/>
      <c r="AF19" s="82"/>
      <c r="AG19" s="82"/>
      <c r="AH19" s="82"/>
      <c r="AI19" s="82"/>
      <c r="AJ19" s="82"/>
      <c r="AK19" s="82"/>
      <c r="AL19" s="82"/>
      <c r="AM19" s="83"/>
      <c r="AN19" s="83"/>
      <c r="AO19" s="84" t="str">
        <f t="shared" ref="AO19:AO82" si="10">IF(OR(N19="", Y19=""), "", IF(N19&lt;&gt;Y19, "نعم", "لا"))</f>
        <v>لا</v>
      </c>
      <c r="AP19" s="85" t="str">
        <f t="shared" ref="AP19:AP82" si="11">IF(AO19="نعم", "أضف المبررات هنا", "")</f>
        <v/>
      </c>
      <c r="AQ19" s="84" t="str">
        <f t="shared" ref="AQ19:AQ82" si="12">IF(OR(P19="", AA19=""), "", IF(P19&lt;&gt;AA19, "نعم", "لا"))</f>
        <v>لا</v>
      </c>
      <c r="AR19" s="85" t="str">
        <f t="shared" ref="AR19:AR82" si="13">IF(AQ19="نعم", "[أضف المبررات هنا]", "")</f>
        <v/>
      </c>
      <c r="AS19" s="86" t="str">
        <f t="shared" ref="AS19:AS82" si="14">IF(OR(Q19="", AB19=""), "", IF(Q19&lt;&gt;AB19, "نعم", "لا"))</f>
        <v>لا</v>
      </c>
      <c r="AT19" s="87" t="str">
        <f t="shared" ref="AT19:AT82" si="15">IF(AS19="نعم", "[أضف المبررات هنا]", "")</f>
        <v/>
      </c>
      <c r="AU19" s="88"/>
      <c r="AV19" s="89"/>
      <c r="AW19" s="90"/>
      <c r="AX19" s="91" cm="1">
        <f t="array" ref="AX19">IFERROR(_xlfn.IFS($AB19="عدد الموظفين/الوحدة",S19*$AA19,$AB19='طريقة الحساب'!$B$2,S19*$AA19/الافتراضات!$B$27,$AB19='طريقة الحساب'!$B$3,S19*$AA19/الافتراضات!$B$26,$AB19='طريقة الحساب'!$B$4,S19*$AA19/الافتراضات!$B$28),"")</f>
        <v>0.49075960748546182</v>
      </c>
      <c r="AY19" s="91" cm="1">
        <f t="array" ref="AY19">IFERROR(_xlfn.IFS($AB19="عدد الموظفين/الوحدة",T19*$AA19,$AB19='طريقة الحساب'!$B$2,T19*$AA19/الافتراضات!$B$27,$AB19='طريقة الحساب'!$B$3,T19*$AA19/الافتراضات!$B$26,$AB19='طريقة الحساب'!$B$4,T19*$AA19/الافتراضات!$B$28),"")</f>
        <v>0.70637092235741594</v>
      </c>
      <c r="AZ19" s="91" cm="1">
        <f t="array" ref="AZ19">IFERROR(_xlfn.IFS($AB19="عدد الموظفين/الوحدة",U19*$AA19,$AB19='طريقة الحساب'!$B$2,U19*$AA19/الافتراضات!$B$27,$AB19='طريقة الحساب'!$B$3,U19*$AA19/الافتراضات!$B$26,$AB19='طريقة الحساب'!$B$4,U19*$AA19/الافتراضات!$B$28),"")</f>
        <v>0.70637092235741594</v>
      </c>
      <c r="BA19" s="91" cm="1">
        <f t="array" ref="BA19">IFERROR(_xlfn.IFS($AB19="عدد الموظفين/الوحدة",V19*$AA19,$AB19='طريقة الحساب'!$B$2,V19*$AA19/الافتراضات!$B$27,$AB19='طريقة الحساب'!$B$3,V19*$AA19/الافتراضات!$B$26,$AB19='طريقة الحساب'!$B$4,V19*$AA19/الافتراضات!$B$28),"")</f>
        <v>0.70637092235741594</v>
      </c>
      <c r="BB19" s="91" cm="1">
        <f t="array" ref="BB19">IFERROR(_xlfn.IFS($AB19="عدد الموظفين/الوحدة",W19*$AA19,$AB19='طريقة الحساب'!$B$2,W19*$AA19/الافتراضات!$B$27,$AB19='طريقة الحساب'!$B$3,W19*$AA19/الافتراضات!$B$26,$AB19='طريقة الحساب'!$B$4,W19*$AA19/الافتراضات!$B$28),"")</f>
        <v>0.70637092235741594</v>
      </c>
      <c r="BC19" s="91" cm="1">
        <f t="array" ref="BC19">IFERROR(_xlfn.IFS($AB19="عدد الموظفين/الوحدة",X19*$AA19,$AB19='طريقة الحساب'!$B$2,X19*$AA19/الافتراضات!$B$27,$AB19='طريقة الحساب'!$B$3,X19*$AA19/الافتراضات!$B$26,$AB19='طريقة الحساب'!$B$4,X19*$AA19/الافتراضات!$B$28),"")</f>
        <v>0.70637092235741594</v>
      </c>
      <c r="BD19" s="91" cm="1">
        <f t="array" ref="BD19">IFERROR(_xlfn.IFS($AB19="عدد الموظفين/الوحدة",Y19*$AA19,$AB19='طريقة الحساب'!$B$2,Y19*$AA19/الافتراضات!$B$27,$AB19='طريقة الحساب'!$B$3,Y19*$AA19/الافتراضات!$B$26,$AB19='طريقة الحساب'!$B$4,Y19*$AA19/الافتراضات!$B$28),"")</f>
        <v>0.70637092235741594</v>
      </c>
      <c r="BE19" s="91" cm="1">
        <f t="array" ref="BE19">IFERROR(_xlfn.IFS($AB19="عدد الموظفين/الوحدة",Z19*$AA19,$AB19='طريقة الحساب'!$B$2,Z19*$AA19/الافتراضات!$B$27,$AB19='طريقة الحساب'!$B$3,Z19*$AA19/الافتراضات!$B$26,$AB19='طريقة الحساب'!$B$4,Z19*$AA19/الافتراضات!$B$28),"")</f>
        <v>0</v>
      </c>
      <c r="BF19" s="92"/>
    </row>
    <row r="20" spans="2:58" x14ac:dyDescent="0.35">
      <c r="B20" s="124" t="s">
        <v>87</v>
      </c>
      <c r="C20" s="131" t="s">
        <v>88</v>
      </c>
      <c r="D20" s="131" t="s">
        <v>90</v>
      </c>
      <c r="E20" s="138" t="s">
        <v>91</v>
      </c>
      <c r="F20" s="125" t="s">
        <v>102</v>
      </c>
      <c r="G20" s="126" t="s">
        <v>84</v>
      </c>
      <c r="H20" s="127"/>
      <c r="I20" s="132">
        <v>430</v>
      </c>
      <c r="J20" s="133">
        <v>800</v>
      </c>
      <c r="K20" s="133">
        <v>785.61095896693325</v>
      </c>
      <c r="L20" s="133">
        <v>967.00216681726386</v>
      </c>
      <c r="M20" s="133">
        <v>1036.4067850767749</v>
      </c>
      <c r="N20" s="133">
        <v>1219.4111825123548</v>
      </c>
      <c r="O20" s="133">
        <v>1219.4111825123548</v>
      </c>
      <c r="P20" s="139">
        <v>1</v>
      </c>
      <c r="Q20" s="134" t="s">
        <v>32</v>
      </c>
      <c r="R20" s="128"/>
      <c r="S20" s="135">
        <v>430</v>
      </c>
      <c r="T20" s="135">
        <v>800</v>
      </c>
      <c r="U20" s="135">
        <v>785.61095896693325</v>
      </c>
      <c r="V20" s="135">
        <v>967.00216681726386</v>
      </c>
      <c r="W20" s="135">
        <v>1036.4067850767749</v>
      </c>
      <c r="X20" s="135">
        <v>1219.4111825123548</v>
      </c>
      <c r="Y20" s="135">
        <v>1219.4111825123548</v>
      </c>
      <c r="Z20" s="79"/>
      <c r="AA20" s="135">
        <v>1</v>
      </c>
      <c r="AB20" s="136" t="s">
        <v>32</v>
      </c>
      <c r="AC20" s="80"/>
      <c r="AD20" s="81"/>
      <c r="AE20" s="82"/>
      <c r="AF20" s="82"/>
      <c r="AG20" s="82"/>
      <c r="AH20" s="82"/>
      <c r="AI20" s="82"/>
      <c r="AJ20" s="82"/>
      <c r="AK20" s="82"/>
      <c r="AL20" s="82"/>
      <c r="AM20" s="83"/>
      <c r="AN20" s="83"/>
      <c r="AO20" s="84" t="str">
        <f t="shared" si="10"/>
        <v>لا</v>
      </c>
      <c r="AP20" s="85" t="str">
        <f t="shared" si="11"/>
        <v/>
      </c>
      <c r="AQ20" s="84" t="str">
        <f t="shared" si="12"/>
        <v>لا</v>
      </c>
      <c r="AR20" s="85" t="str">
        <f t="shared" si="13"/>
        <v/>
      </c>
      <c r="AS20" s="86" t="str">
        <f t="shared" si="14"/>
        <v>لا</v>
      </c>
      <c r="AT20" s="87" t="str">
        <f t="shared" si="15"/>
        <v/>
      </c>
      <c r="AU20" s="88"/>
      <c r="AV20" s="89"/>
      <c r="AW20" s="90"/>
      <c r="AX20" s="91" cm="1">
        <f t="array" ref="AX20">IFERROR(_xlfn.IFS($AB20="عدد الموظفين/الوحدة",S20*$AA20,$AB20='طريقة الحساب'!$B$2,S20*$AA20/الافتراضات!$B$27,$AB20='طريقة الحساب'!$B$3,S20*$AA20/الافتراضات!$B$26,$AB20='طريقة الحساب'!$B$4,S20*$AA20/الافتراضات!$B$28),"")</f>
        <v>0.43391356659098407</v>
      </c>
      <c r="AY20" s="91" cm="1">
        <f t="array" ref="AY20">IFERROR(_xlfn.IFS($AB20="عدد الموظفين/الوحدة",T20*$AA20,$AB20='طريقة الحساب'!$B$2,T20*$AA20/الافتراضات!$B$27,$AB20='طريقة الحساب'!$B$3,T20*$AA20/الافتراضات!$B$26,$AB20='طريقة الحساب'!$B$4,T20*$AA20/الافتراضات!$B$28),"")</f>
        <v>0.80728105412276097</v>
      </c>
      <c r="AZ20" s="91" cm="1">
        <f t="array" ref="AZ20">IFERROR(_xlfn.IFS($AB20="عدد الموظفين/الوحدة",U20*$AA20,$AB20='طريقة الحساب'!$B$2,U20*$AA20/الافتراضات!$B$27,$AB20='طريقة الحساب'!$B$3,U20*$AA20/الافتراضات!$B$26,$AB20='طريقة الحساب'!$B$4,U20*$AA20/الافتراضات!$B$28),"")</f>
        <v>0.79276105385652373</v>
      </c>
      <c r="BA20" s="91" cm="1">
        <f t="array" ref="BA20">IFERROR(_xlfn.IFS($AB20="عدد الموظفين/الوحدة",V20*$AA20,$AB20='طريقة الحساب'!$B$2,V20*$AA20/الافتراضات!$B$27,$AB20='طريقة الحساب'!$B$3,V20*$AA20/الافتراضات!$B$26,$AB20='طريقة الحساب'!$B$4,V20*$AA20/الافتراضات!$B$28),"")</f>
        <v>0.97580316070904349</v>
      </c>
      <c r="BB20" s="91" cm="1">
        <f t="array" ref="BB20">IFERROR(_xlfn.IFS($AB20="عدد الموظفين/الوحدة",W20*$AA20,$AB20='طريقة الحساب'!$B$2,W20*$AA20/الافتراضات!$B$27,$AB20='طريقة الحساب'!$B$3,W20*$AA20/الافتراضات!$B$26,$AB20='طريقة الحساب'!$B$4,W20*$AA20/الافتراضات!$B$28),"")</f>
        <v>1.0458394524459509</v>
      </c>
      <c r="BC20" s="91" cm="1">
        <f t="array" ref="BC20">IFERROR(_xlfn.IFS($AB20="عدد الموظفين/الوحدة",X20*$AA20,$AB20='طريقة الحساب'!$B$2,X20*$AA20/الافتراضات!$B$27,$AB20='طريقة الحساب'!$B$3,X20*$AA20/الافتراضات!$B$26,$AB20='طريقة الحساب'!$B$4,X20*$AA20/الافتراضات!$B$28),"")</f>
        <v>1.2305094310345703</v>
      </c>
      <c r="BD20" s="91" cm="1">
        <f t="array" ref="BD20">IFERROR(_xlfn.IFS($AB20="عدد الموظفين/الوحدة",Y20*$AA20,$AB20='طريقة الحساب'!$B$2,Y20*$AA20/الافتراضات!$B$27,$AB20='طريقة الحساب'!$B$3,Y20*$AA20/الافتراضات!$B$26,$AB20='طريقة الحساب'!$B$4,Y20*$AA20/الافتراضات!$B$28),"")</f>
        <v>1.2305094310345703</v>
      </c>
      <c r="BE20" s="91" cm="1">
        <f t="array" ref="BE20">IFERROR(_xlfn.IFS($AB20="عدد الموظفين/الوحدة",Z20*$AA20,$AB20='طريقة الحساب'!$B$2,Z20*$AA20/الافتراضات!$B$27,$AB20='طريقة الحساب'!$B$3,Z20*$AA20/الافتراضات!$B$26,$AB20='طريقة الحساب'!$B$4,Z20*$AA20/الافتراضات!$B$28),"")</f>
        <v>0</v>
      </c>
      <c r="BF20" s="92"/>
    </row>
    <row r="21" spans="2:58" x14ac:dyDescent="0.35">
      <c r="B21" s="124" t="s">
        <v>87</v>
      </c>
      <c r="C21" s="131" t="s">
        <v>88</v>
      </c>
      <c r="D21" s="131" t="s">
        <v>90</v>
      </c>
      <c r="E21" s="138" t="s">
        <v>91</v>
      </c>
      <c r="F21" s="125" t="s">
        <v>103</v>
      </c>
      <c r="G21" s="126" t="s">
        <v>84</v>
      </c>
      <c r="H21" s="127"/>
      <c r="I21" s="132">
        <v>4571</v>
      </c>
      <c r="J21" s="133">
        <v>1000</v>
      </c>
      <c r="K21" s="133">
        <v>1050</v>
      </c>
      <c r="L21" s="133">
        <v>1102.5</v>
      </c>
      <c r="M21" s="133">
        <v>1157.625</v>
      </c>
      <c r="N21" s="133">
        <v>1215.5062500000001</v>
      </c>
      <c r="O21" s="133">
        <v>1215.5062500000001</v>
      </c>
      <c r="P21" s="139">
        <v>0.5</v>
      </c>
      <c r="Q21" s="134" t="s">
        <v>32</v>
      </c>
      <c r="R21" s="128"/>
      <c r="S21" s="135">
        <v>4571</v>
      </c>
      <c r="T21" s="135">
        <v>1000</v>
      </c>
      <c r="U21" s="135">
        <v>1050</v>
      </c>
      <c r="V21" s="135">
        <v>1102.5</v>
      </c>
      <c r="W21" s="135">
        <v>1157.625</v>
      </c>
      <c r="X21" s="135">
        <v>1215.5062500000001</v>
      </c>
      <c r="Y21" s="135">
        <v>1215.5062500000001</v>
      </c>
      <c r="Z21" s="79"/>
      <c r="AA21" s="135">
        <v>0.5</v>
      </c>
      <c r="AB21" s="136" t="s">
        <v>32</v>
      </c>
      <c r="AC21" s="80"/>
      <c r="AD21" s="81"/>
      <c r="AE21" s="82"/>
      <c r="AF21" s="82"/>
      <c r="AG21" s="82"/>
      <c r="AH21" s="82"/>
      <c r="AI21" s="82"/>
      <c r="AJ21" s="82"/>
      <c r="AK21" s="82"/>
      <c r="AL21" s="82"/>
      <c r="AM21" s="83"/>
      <c r="AN21" s="83"/>
      <c r="AO21" s="84" t="str">
        <f t="shared" si="10"/>
        <v>لا</v>
      </c>
      <c r="AP21" s="85" t="str">
        <f t="shared" si="11"/>
        <v/>
      </c>
      <c r="AQ21" s="84" t="str">
        <f t="shared" si="12"/>
        <v>لا</v>
      </c>
      <c r="AR21" s="85" t="str">
        <f t="shared" si="13"/>
        <v/>
      </c>
      <c r="AS21" s="86" t="str">
        <f t="shared" si="14"/>
        <v>لا</v>
      </c>
      <c r="AT21" s="87" t="str">
        <f t="shared" si="15"/>
        <v/>
      </c>
      <c r="AU21" s="88"/>
      <c r="AV21" s="89"/>
      <c r="AW21" s="90"/>
      <c r="AX21" s="91" cm="1">
        <f t="array" ref="AX21">IFERROR(_xlfn.IFS($AB21="عدد الموظفين/الوحدة",S21*$AA21,$AB21='طريقة الحساب'!$B$2,S21*$AA21/الافتراضات!$B$27,$AB21='طريقة الحساب'!$B$3,S21*$AA21/الافتراضات!$B$26,$AB21='طريقة الحساب'!$B$4,S21*$AA21/الافتراضات!$B$28),"")</f>
        <v>2.306301061496963</v>
      </c>
      <c r="AY21" s="91" cm="1">
        <f t="array" ref="AY21">IFERROR(_xlfn.IFS($AB21="عدد الموظفين/الوحدة",T21*$AA21,$AB21='طريقة الحساب'!$B$2,T21*$AA21/الافتراضات!$B$27,$AB21='طريقة الحساب'!$B$3,T21*$AA21/الافتراضات!$B$26,$AB21='طريقة الحساب'!$B$4,T21*$AA21/الافتراضات!$B$28),"")</f>
        <v>0.50455065882672567</v>
      </c>
      <c r="AZ21" s="91" cm="1">
        <f t="array" ref="AZ21">IFERROR(_xlfn.IFS($AB21="عدد الموظفين/الوحدة",U21*$AA21,$AB21='طريقة الحساب'!$B$2,U21*$AA21/الافتراضات!$B$27,$AB21='طريقة الحساب'!$B$3,U21*$AA21/الافتراضات!$B$26,$AB21='طريقة الحساب'!$B$4,U21*$AA21/الافتراضات!$B$28),"")</f>
        <v>0.52977819176806196</v>
      </c>
      <c r="BA21" s="91" cm="1">
        <f t="array" ref="BA21">IFERROR(_xlfn.IFS($AB21="عدد الموظفين/الوحدة",V21*$AA21,$AB21='طريقة الحساب'!$B$2,V21*$AA21/الافتراضات!$B$27,$AB21='طريقة الحساب'!$B$3,V21*$AA21/الافتراضات!$B$26,$AB21='طريقة الحساب'!$B$4,V21*$AA21/الافتراضات!$B$28),"")</f>
        <v>0.55626710135646507</v>
      </c>
      <c r="BB21" s="91" cm="1">
        <f t="array" ref="BB21">IFERROR(_xlfn.IFS($AB21="عدد الموظفين/الوحدة",W21*$AA21,$AB21='طريقة الحساب'!$B$2,W21*$AA21/الافتراضات!$B$27,$AB21='طريقة الحساب'!$B$3,W21*$AA21/الافتراضات!$B$26,$AB21='طريقة الحساب'!$B$4,W21*$AA21/الافتراضات!$B$28),"")</f>
        <v>0.5840804564242883</v>
      </c>
      <c r="BC21" s="91" cm="1">
        <f t="array" ref="BC21">IFERROR(_xlfn.IFS($AB21="عدد الموظفين/الوحدة",X21*$AA21,$AB21='طريقة الحساب'!$B$2,X21*$AA21/الافتراضات!$B$27,$AB21='طريقة الحساب'!$B$3,X21*$AA21/الافتراضات!$B$26,$AB21='طريقة الحساب'!$B$4,X21*$AA21/الافتراضات!$B$28),"")</f>
        <v>0.61328447924550278</v>
      </c>
      <c r="BD21" s="91" cm="1">
        <f t="array" ref="BD21">IFERROR(_xlfn.IFS($AB21="عدد الموظفين/الوحدة",Y21*$AA21,$AB21='طريقة الحساب'!$B$2,Y21*$AA21/الافتراضات!$B$27,$AB21='طريقة الحساب'!$B$3,Y21*$AA21/الافتراضات!$B$26,$AB21='طريقة الحساب'!$B$4,Y21*$AA21/الافتراضات!$B$28),"")</f>
        <v>0.61328447924550278</v>
      </c>
      <c r="BE21" s="91" cm="1">
        <f t="array" ref="BE21">IFERROR(_xlfn.IFS($AB21="عدد الموظفين/الوحدة",Z21*$AA21,$AB21='طريقة الحساب'!$B$2,Z21*$AA21/الافتراضات!$B$27,$AB21='طريقة الحساب'!$B$3,Z21*$AA21/الافتراضات!$B$26,$AB21='طريقة الحساب'!$B$4,Z21*$AA21/الافتراضات!$B$28),"")</f>
        <v>0</v>
      </c>
      <c r="BF21" s="92"/>
    </row>
    <row r="22" spans="2:58" x14ac:dyDescent="0.35">
      <c r="B22" s="124" t="s">
        <v>87</v>
      </c>
      <c r="C22" s="131" t="s">
        <v>88</v>
      </c>
      <c r="D22" s="131" t="s">
        <v>90</v>
      </c>
      <c r="E22" s="138" t="s">
        <v>91</v>
      </c>
      <c r="F22" s="125" t="s">
        <v>104</v>
      </c>
      <c r="G22" s="126" t="s">
        <v>84</v>
      </c>
      <c r="H22" s="127"/>
      <c r="I22" s="132">
        <v>4571</v>
      </c>
      <c r="J22" s="133">
        <v>5000</v>
      </c>
      <c r="K22" s="133">
        <v>5250</v>
      </c>
      <c r="L22" s="133">
        <v>5512.5</v>
      </c>
      <c r="M22" s="133">
        <v>5788.125</v>
      </c>
      <c r="N22" s="133">
        <v>6077.53125</v>
      </c>
      <c r="O22" s="133">
        <v>6077.53125</v>
      </c>
      <c r="P22" s="139">
        <v>0.5</v>
      </c>
      <c r="Q22" s="134" t="s">
        <v>32</v>
      </c>
      <c r="R22" s="128"/>
      <c r="S22" s="135">
        <v>4571</v>
      </c>
      <c r="T22" s="135">
        <v>5000</v>
      </c>
      <c r="U22" s="135">
        <v>5250</v>
      </c>
      <c r="V22" s="135">
        <v>5512.5</v>
      </c>
      <c r="W22" s="135">
        <v>5788.125</v>
      </c>
      <c r="X22" s="135">
        <v>6077.53125</v>
      </c>
      <c r="Y22" s="135">
        <v>6077.53125</v>
      </c>
      <c r="Z22" s="79"/>
      <c r="AA22" s="135">
        <v>0.5</v>
      </c>
      <c r="AB22" s="136" t="s">
        <v>32</v>
      </c>
      <c r="AC22" s="80"/>
      <c r="AD22" s="81"/>
      <c r="AE22" s="82"/>
      <c r="AF22" s="82"/>
      <c r="AG22" s="82"/>
      <c r="AH22" s="82"/>
      <c r="AI22" s="82"/>
      <c r="AJ22" s="82"/>
      <c r="AK22" s="82"/>
      <c r="AL22" s="82"/>
      <c r="AM22" s="83"/>
      <c r="AN22" s="83"/>
      <c r="AO22" s="84" t="str">
        <f t="shared" si="10"/>
        <v>لا</v>
      </c>
      <c r="AP22" s="85" t="str">
        <f t="shared" si="11"/>
        <v/>
      </c>
      <c r="AQ22" s="84" t="str">
        <f t="shared" si="12"/>
        <v>لا</v>
      </c>
      <c r="AR22" s="85" t="str">
        <f t="shared" si="13"/>
        <v/>
      </c>
      <c r="AS22" s="86" t="str">
        <f t="shared" si="14"/>
        <v>لا</v>
      </c>
      <c r="AT22" s="87" t="str">
        <f t="shared" si="15"/>
        <v/>
      </c>
      <c r="AU22" s="88"/>
      <c r="AV22" s="89"/>
      <c r="AW22" s="90"/>
      <c r="AX22" s="91" cm="1">
        <f t="array" ref="AX22">IFERROR(_xlfn.IFS($AB22="عدد الموظفين/الوحدة",S22*$AA22,$AB22='طريقة الحساب'!$B$2,S22*$AA22/الافتراضات!$B$27,$AB22='طريقة الحساب'!$B$3,S22*$AA22/الافتراضات!$B$26,$AB22='طريقة الحساب'!$B$4,S22*$AA22/الافتراضات!$B$28),"")</f>
        <v>2.306301061496963</v>
      </c>
      <c r="AY22" s="91" cm="1">
        <f t="array" ref="AY22">IFERROR(_xlfn.IFS($AB22="عدد الموظفين/الوحدة",T22*$AA22,$AB22='طريقة الحساب'!$B$2,T22*$AA22/الافتراضات!$B$27,$AB22='طريقة الحساب'!$B$3,T22*$AA22/الافتراضات!$B$26,$AB22='طريقة الحساب'!$B$4,T22*$AA22/الافتراضات!$B$28),"")</f>
        <v>2.5227532941336284</v>
      </c>
      <c r="AZ22" s="91" cm="1">
        <f t="array" ref="AZ22">IFERROR(_xlfn.IFS($AB22="عدد الموظفين/الوحدة",U22*$AA22,$AB22='طريقة الحساب'!$B$2,U22*$AA22/الافتراضات!$B$27,$AB22='طريقة الحساب'!$B$3,U22*$AA22/الافتراضات!$B$26,$AB22='طريقة الحساب'!$B$4,U22*$AA22/الافتراضات!$B$28),"")</f>
        <v>2.6488909588403096</v>
      </c>
      <c r="BA22" s="91" cm="1">
        <f t="array" ref="BA22">IFERROR(_xlfn.IFS($AB22="عدد الموظفين/الوحدة",V22*$AA22,$AB22='طريقة الحساب'!$B$2,V22*$AA22/الافتراضات!$B$27,$AB22='طريقة الحساب'!$B$3,V22*$AA22/الافتراضات!$B$26,$AB22='طريقة الحساب'!$B$4,V22*$AA22/الافتراضات!$B$28),"")</f>
        <v>2.7813355067823249</v>
      </c>
      <c r="BB22" s="91" cm="1">
        <f t="array" ref="BB22">IFERROR(_xlfn.IFS($AB22="عدد الموظفين/الوحدة",W22*$AA22,$AB22='طريقة الحساب'!$B$2,W22*$AA22/الافتراضات!$B$27,$AB22='طريقة الحساب'!$B$3,W22*$AA22/الافتراضات!$B$26,$AB22='طريقة الحساب'!$B$4,W22*$AA22/الافتراضات!$B$28),"")</f>
        <v>2.9204022821214415</v>
      </c>
      <c r="BC22" s="91" cm="1">
        <f t="array" ref="BC22">IFERROR(_xlfn.IFS($AB22="عدد الموظفين/الوحدة",X22*$AA22,$AB22='طريقة الحساب'!$B$2,X22*$AA22/الافتراضات!$B$27,$AB22='طريقة الحساب'!$B$3,X22*$AA22/الافتراضات!$B$26,$AB22='طريقة الحساب'!$B$4,X22*$AA22/الافتراضات!$B$28),"")</f>
        <v>3.0664223962275132</v>
      </c>
      <c r="BD22" s="91" cm="1">
        <f t="array" ref="BD22">IFERROR(_xlfn.IFS($AB22="عدد الموظفين/الوحدة",Y22*$AA22,$AB22='طريقة الحساب'!$B$2,Y22*$AA22/الافتراضات!$B$27,$AB22='طريقة الحساب'!$B$3,Y22*$AA22/الافتراضات!$B$26,$AB22='طريقة الحساب'!$B$4,Y22*$AA22/الافتراضات!$B$28),"")</f>
        <v>3.0664223962275132</v>
      </c>
      <c r="BE22" s="91" cm="1">
        <f t="array" ref="BE22">IFERROR(_xlfn.IFS($AB22="عدد الموظفين/الوحدة",Z22*$AA22,$AB22='طريقة الحساب'!$B$2,Z22*$AA22/الافتراضات!$B$27,$AB22='طريقة الحساب'!$B$3,Z22*$AA22/الافتراضات!$B$26,$AB22='طريقة الحساب'!$B$4,Z22*$AA22/الافتراضات!$B$28),"")</f>
        <v>0</v>
      </c>
      <c r="BF22" s="92"/>
    </row>
    <row r="23" spans="2:58" x14ac:dyDescent="0.35">
      <c r="B23" s="124" t="s">
        <v>87</v>
      </c>
      <c r="C23" s="131" t="s">
        <v>88</v>
      </c>
      <c r="D23" s="131" t="s">
        <v>90</v>
      </c>
      <c r="E23" s="138" t="s">
        <v>91</v>
      </c>
      <c r="F23" s="125" t="s">
        <v>105</v>
      </c>
      <c r="G23" s="126" t="s">
        <v>84</v>
      </c>
      <c r="H23" s="127"/>
      <c r="I23" s="132">
        <v>548</v>
      </c>
      <c r="J23" s="133">
        <v>700</v>
      </c>
      <c r="K23" s="133">
        <v>735</v>
      </c>
      <c r="L23" s="133">
        <v>771.75</v>
      </c>
      <c r="M23" s="133">
        <v>810.33750000000009</v>
      </c>
      <c r="N23" s="133">
        <v>850.85437500000012</v>
      </c>
      <c r="O23" s="133">
        <v>850.85437500000012</v>
      </c>
      <c r="P23" s="139">
        <v>15</v>
      </c>
      <c r="Q23" s="134" t="s">
        <v>45</v>
      </c>
      <c r="R23" s="128"/>
      <c r="S23" s="135">
        <v>548</v>
      </c>
      <c r="T23" s="135">
        <v>700</v>
      </c>
      <c r="U23" s="135">
        <v>735</v>
      </c>
      <c r="V23" s="135">
        <v>771.75</v>
      </c>
      <c r="W23" s="135">
        <v>810.33750000000009</v>
      </c>
      <c r="X23" s="135">
        <v>850.85437500000012</v>
      </c>
      <c r="Y23" s="135">
        <v>850.85437500000012</v>
      </c>
      <c r="Z23" s="79"/>
      <c r="AA23" s="135">
        <v>15</v>
      </c>
      <c r="AB23" s="136" t="s">
        <v>45</v>
      </c>
      <c r="AC23" s="80"/>
      <c r="AD23" s="81"/>
      <c r="AE23" s="82"/>
      <c r="AF23" s="82"/>
      <c r="AG23" s="82"/>
      <c r="AH23" s="82"/>
      <c r="AI23" s="82"/>
      <c r="AJ23" s="82"/>
      <c r="AK23" s="82"/>
      <c r="AL23" s="82"/>
      <c r="AM23" s="83"/>
      <c r="AN23" s="83"/>
      <c r="AO23" s="84" t="str">
        <f t="shared" si="10"/>
        <v>لا</v>
      </c>
      <c r="AP23" s="85" t="str">
        <f t="shared" si="11"/>
        <v/>
      </c>
      <c r="AQ23" s="84" t="str">
        <f t="shared" si="12"/>
        <v>لا</v>
      </c>
      <c r="AR23" s="85" t="str">
        <f t="shared" si="13"/>
        <v/>
      </c>
      <c r="AS23" s="86" t="str">
        <f t="shared" si="14"/>
        <v>لا</v>
      </c>
      <c r="AT23" s="87" t="str">
        <f t="shared" si="15"/>
        <v/>
      </c>
      <c r="AU23" s="88"/>
      <c r="AV23" s="89"/>
      <c r="AW23" s="90"/>
      <c r="AX23" s="91" cm="1">
        <f t="array" ref="AX23">IFERROR(_xlfn.IFS($AB23="عدد الموظفين/الوحدة",S23*$AA23,$AB23='طريقة الحساب'!$B$2,S23*$AA23/الافتراضات!$B$27,$AB23='طريقة الحساب'!$B$3,S23*$AA23/الافتراضات!$B$26,$AB23='طريقة الحساب'!$B$4,S23*$AA23/الافتراضات!$B$28),"")</f>
        <v>0.13824688051852282</v>
      </c>
      <c r="AY23" s="91" cm="1">
        <f t="array" ref="AY23">IFERROR(_xlfn.IFS($AB23="عدد الموظفين/الوحدة",T23*$AA23,$AB23='طريقة الحساب'!$B$2,T23*$AA23/الافتراضات!$B$27,$AB23='طريقة الحساب'!$B$3,T23*$AA23/الافتراضات!$B$26,$AB23='طريقة الحساب'!$B$4,T23*$AA23/الافتراضات!$B$28),"")</f>
        <v>0.17659273058935399</v>
      </c>
      <c r="AZ23" s="91" cm="1">
        <f t="array" ref="AZ23">IFERROR(_xlfn.IFS($AB23="عدد الموظفين/الوحدة",U23*$AA23,$AB23='طريقة الحساب'!$B$2,U23*$AA23/الافتراضات!$B$27,$AB23='طريقة الحساب'!$B$3,U23*$AA23/الافتراضات!$B$26,$AB23='طريقة الحساب'!$B$4,U23*$AA23/الافتراضات!$B$28),"")</f>
        <v>0.18542236711882168</v>
      </c>
      <c r="BA23" s="91" cm="1">
        <f t="array" ref="BA23">IFERROR(_xlfn.IFS($AB23="عدد الموظفين/الوحدة",V23*$AA23,$AB23='طريقة الحساب'!$B$2,V23*$AA23/الافتراضات!$B$27,$AB23='طريقة الحساب'!$B$3,V23*$AA23/الافتراضات!$B$26,$AB23='طريقة الحساب'!$B$4,V23*$AA23/الافتراضات!$B$28),"")</f>
        <v>0.19469348547476276</v>
      </c>
      <c r="BB23" s="91" cm="1">
        <f t="array" ref="BB23">IFERROR(_xlfn.IFS($AB23="عدد الموظفين/الوحدة",W23*$AA23,$AB23='طريقة الحساب'!$B$2,W23*$AA23/الافتراضات!$B$27,$AB23='طريقة الحساب'!$B$3,W23*$AA23/الافتراضات!$B$26,$AB23='طريقة الحساب'!$B$4,W23*$AA23/الافتراضات!$B$28),"")</f>
        <v>0.20442815974850093</v>
      </c>
      <c r="BC23" s="91" cm="1">
        <f t="array" ref="BC23">IFERROR(_xlfn.IFS($AB23="عدد الموظفين/الوحدة",X23*$AA23,$AB23='طريقة الحساب'!$B$2,X23*$AA23/الافتراضات!$B$27,$AB23='طريقة الحساب'!$B$3,X23*$AA23/الافتراضات!$B$26,$AB23='طريقة الحساب'!$B$4,X23*$AA23/الافتراضات!$B$28),"")</f>
        <v>0.21464956773592594</v>
      </c>
      <c r="BD23" s="91" cm="1">
        <f t="array" ref="BD23">IFERROR(_xlfn.IFS($AB23="عدد الموظفين/الوحدة",Y23*$AA23,$AB23='طريقة الحساب'!$B$2,Y23*$AA23/الافتراضات!$B$27,$AB23='طريقة الحساب'!$B$3,Y23*$AA23/الافتراضات!$B$26,$AB23='طريقة الحساب'!$B$4,Y23*$AA23/الافتراضات!$B$28),"")</f>
        <v>0.21464956773592594</v>
      </c>
      <c r="BE23" s="91" cm="1">
        <f t="array" ref="BE23">IFERROR(_xlfn.IFS($AB23="عدد الموظفين/الوحدة",Z23*$AA23,$AB23='طريقة الحساب'!$B$2,Z23*$AA23/الافتراضات!$B$27,$AB23='طريقة الحساب'!$B$3,Z23*$AA23/الافتراضات!$B$26,$AB23='طريقة الحساب'!$B$4,Z23*$AA23/الافتراضات!$B$28),"")</f>
        <v>0</v>
      </c>
      <c r="BF23" s="92"/>
    </row>
    <row r="24" spans="2:58" x14ac:dyDescent="0.35">
      <c r="B24" s="124" t="s">
        <v>87</v>
      </c>
      <c r="C24" s="131" t="s">
        <v>88</v>
      </c>
      <c r="D24" s="131" t="s">
        <v>90</v>
      </c>
      <c r="E24" s="138" t="s">
        <v>91</v>
      </c>
      <c r="F24" s="125" t="s">
        <v>106</v>
      </c>
      <c r="G24" s="126" t="s">
        <v>84</v>
      </c>
      <c r="H24" s="127"/>
      <c r="I24" s="132">
        <v>278.40000000000003</v>
      </c>
      <c r="J24" s="133">
        <v>340</v>
      </c>
      <c r="K24" s="133">
        <v>364</v>
      </c>
      <c r="L24" s="133">
        <v>388</v>
      </c>
      <c r="M24" s="133">
        <v>412</v>
      </c>
      <c r="N24" s="133">
        <v>436</v>
      </c>
      <c r="O24" s="133">
        <v>436</v>
      </c>
      <c r="P24" s="139">
        <v>1</v>
      </c>
      <c r="Q24" s="134" t="s">
        <v>32</v>
      </c>
      <c r="R24" s="128"/>
      <c r="S24" s="135">
        <v>278.40000000000003</v>
      </c>
      <c r="T24" s="135">
        <v>340</v>
      </c>
      <c r="U24" s="135">
        <v>364</v>
      </c>
      <c r="V24" s="135">
        <v>388</v>
      </c>
      <c r="W24" s="135">
        <v>412</v>
      </c>
      <c r="X24" s="135">
        <v>436</v>
      </c>
      <c r="Y24" s="135">
        <v>436</v>
      </c>
      <c r="Z24" s="79"/>
      <c r="AA24" s="135">
        <v>1</v>
      </c>
      <c r="AB24" s="136" t="s">
        <v>32</v>
      </c>
      <c r="AC24" s="80"/>
      <c r="AD24" s="81"/>
      <c r="AE24" s="82"/>
      <c r="AF24" s="82"/>
      <c r="AG24" s="82"/>
      <c r="AH24" s="82"/>
      <c r="AI24" s="82"/>
      <c r="AJ24" s="82"/>
      <c r="AK24" s="82"/>
      <c r="AL24" s="82"/>
      <c r="AM24" s="83"/>
      <c r="AN24" s="83"/>
      <c r="AO24" s="84" t="str">
        <f t="shared" si="10"/>
        <v>لا</v>
      </c>
      <c r="AP24" s="85" t="str">
        <f t="shared" si="11"/>
        <v/>
      </c>
      <c r="AQ24" s="84" t="str">
        <f t="shared" si="12"/>
        <v>لا</v>
      </c>
      <c r="AR24" s="85" t="str">
        <f t="shared" si="13"/>
        <v/>
      </c>
      <c r="AS24" s="86" t="str">
        <f t="shared" si="14"/>
        <v>لا</v>
      </c>
      <c r="AT24" s="87" t="str">
        <f t="shared" si="15"/>
        <v/>
      </c>
      <c r="AU24" s="88"/>
      <c r="AV24" s="89"/>
      <c r="AW24" s="90"/>
      <c r="AX24" s="91" cm="1">
        <f t="array" ref="AX24">IFERROR(_xlfn.IFS($AB24="عدد الموظفين/الوحدة",S24*$AA24,$AB24='طريقة الحساب'!$B$2,S24*$AA24/الافتراضات!$B$27,$AB24='طريقة الحساب'!$B$3,S24*$AA24/الافتراضات!$B$26,$AB24='طريقة الحساب'!$B$4,S24*$AA24/الافتراضات!$B$28),"")</f>
        <v>0.28093380683472086</v>
      </c>
      <c r="AY24" s="91" cm="1">
        <f t="array" ref="AY24">IFERROR(_xlfn.IFS($AB24="عدد الموظفين/الوحدة",T24*$AA24,$AB24='طريقة الحساب'!$B$2,T24*$AA24/الافتراضات!$B$27,$AB24='طريقة الحساب'!$B$3,T24*$AA24/الافتراضات!$B$26,$AB24='طريقة الحساب'!$B$4,T24*$AA24/الافتراضات!$B$28),"")</f>
        <v>0.34309444800217342</v>
      </c>
      <c r="AZ24" s="91" cm="1">
        <f t="array" ref="AZ24">IFERROR(_xlfn.IFS($AB24="عدد الموظفين/الوحدة",U24*$AA24,$AB24='طريقة الحساب'!$B$2,U24*$AA24/الافتراضات!$B$27,$AB24='طريقة الحساب'!$B$3,U24*$AA24/الافتراضات!$B$26,$AB24='طريقة الحساب'!$B$4,U24*$AA24/الافتراضات!$B$28),"")</f>
        <v>0.36731287962585624</v>
      </c>
      <c r="BA24" s="91" cm="1">
        <f t="array" ref="BA24">IFERROR(_xlfn.IFS($AB24="عدد الموظفين/الوحدة",V24*$AA24,$AB24='طريقة الحساب'!$B$2,V24*$AA24/الافتراضات!$B$27,$AB24='طريقة الحساب'!$B$3,V24*$AA24/الافتراضات!$B$26,$AB24='طريقة الحساب'!$B$4,V24*$AA24/الافتراضات!$B$28),"")</f>
        <v>0.3915313112495391</v>
      </c>
      <c r="BB24" s="91" cm="1">
        <f t="array" ref="BB24">IFERROR(_xlfn.IFS($AB24="عدد الموظفين/الوحدة",W24*$AA24,$AB24='طريقة الحساب'!$B$2,W24*$AA24/الافتراضات!$B$27,$AB24='طريقة الحساب'!$B$3,W24*$AA24/الافتراضات!$B$26,$AB24='طريقة الحساب'!$B$4,W24*$AA24/الافتراضات!$B$28),"")</f>
        <v>0.41574974287322192</v>
      </c>
      <c r="BC24" s="91" cm="1">
        <f t="array" ref="BC24">IFERROR(_xlfn.IFS($AB24="عدد الموظفين/الوحدة",X24*$AA24,$AB24='طريقة الحساب'!$B$2,X24*$AA24/الافتراضات!$B$27,$AB24='طريقة الحساب'!$B$3,X24*$AA24/الافتراضات!$B$26,$AB24='طريقة الحساب'!$B$4,X24*$AA24/الافتراضات!$B$28),"")</f>
        <v>0.43996817449690473</v>
      </c>
      <c r="BD24" s="91" cm="1">
        <f t="array" ref="BD24">IFERROR(_xlfn.IFS($AB24="عدد الموظفين/الوحدة",Y24*$AA24,$AB24='طريقة الحساب'!$B$2,Y24*$AA24/الافتراضات!$B$27,$AB24='طريقة الحساب'!$B$3,Y24*$AA24/الافتراضات!$B$26,$AB24='طريقة الحساب'!$B$4,Y24*$AA24/الافتراضات!$B$28),"")</f>
        <v>0.43996817449690473</v>
      </c>
      <c r="BE24" s="91" cm="1">
        <f t="array" ref="BE24">IFERROR(_xlfn.IFS($AB24="عدد الموظفين/الوحدة",Z24*$AA24,$AB24='طريقة الحساب'!$B$2,Z24*$AA24/الافتراضات!$B$27,$AB24='طريقة الحساب'!$B$3,Z24*$AA24/الافتراضات!$B$26,$AB24='طريقة الحساب'!$B$4,Z24*$AA24/الافتراضات!$B$28),"")</f>
        <v>0</v>
      </c>
      <c r="BF24" s="92"/>
    </row>
    <row r="25" spans="2:58" x14ac:dyDescent="0.35">
      <c r="B25" s="124" t="s">
        <v>87</v>
      </c>
      <c r="C25" s="131" t="s">
        <v>88</v>
      </c>
      <c r="D25" s="131" t="s">
        <v>90</v>
      </c>
      <c r="E25" s="138" t="s">
        <v>91</v>
      </c>
      <c r="F25" s="125" t="s">
        <v>107</v>
      </c>
      <c r="G25" s="126" t="s">
        <v>84</v>
      </c>
      <c r="H25" s="127"/>
      <c r="I25" s="132">
        <v>500</v>
      </c>
      <c r="J25" s="133">
        <v>500</v>
      </c>
      <c r="K25" s="133">
        <v>500</v>
      </c>
      <c r="L25" s="133">
        <v>500</v>
      </c>
      <c r="M25" s="133">
        <v>500</v>
      </c>
      <c r="N25" s="133">
        <v>500</v>
      </c>
      <c r="O25" s="133">
        <v>500</v>
      </c>
      <c r="P25" s="139">
        <v>1</v>
      </c>
      <c r="Q25" s="134" t="s">
        <v>46</v>
      </c>
      <c r="R25" s="128"/>
      <c r="S25" s="135">
        <v>500</v>
      </c>
      <c r="T25" s="135">
        <v>500</v>
      </c>
      <c r="U25" s="135">
        <v>500</v>
      </c>
      <c r="V25" s="135">
        <v>500</v>
      </c>
      <c r="W25" s="135">
        <v>500</v>
      </c>
      <c r="X25" s="135">
        <v>500</v>
      </c>
      <c r="Y25" s="135">
        <v>500</v>
      </c>
      <c r="Z25" s="79"/>
      <c r="AA25" s="135">
        <v>1</v>
      </c>
      <c r="AB25" s="136" t="s">
        <v>46</v>
      </c>
      <c r="AC25" s="80"/>
      <c r="AD25" s="81"/>
      <c r="AE25" s="82"/>
      <c r="AF25" s="82"/>
      <c r="AG25" s="82"/>
      <c r="AH25" s="82"/>
      <c r="AI25" s="82"/>
      <c r="AJ25" s="82"/>
      <c r="AK25" s="82"/>
      <c r="AL25" s="82"/>
      <c r="AM25" s="83"/>
      <c r="AN25" s="83"/>
      <c r="AO25" s="84" t="str">
        <f t="shared" si="10"/>
        <v>لا</v>
      </c>
      <c r="AP25" s="85" t="str">
        <f t="shared" si="11"/>
        <v/>
      </c>
      <c r="AQ25" s="84" t="str">
        <f t="shared" si="12"/>
        <v>لا</v>
      </c>
      <c r="AR25" s="85" t="str">
        <f t="shared" si="13"/>
        <v/>
      </c>
      <c r="AS25" s="86" t="str">
        <f t="shared" si="14"/>
        <v>لا</v>
      </c>
      <c r="AT25" s="87" t="str">
        <f t="shared" si="15"/>
        <v/>
      </c>
      <c r="AU25" s="88"/>
      <c r="AV25" s="89"/>
      <c r="AW25" s="90"/>
      <c r="AX25" s="91" cm="1">
        <f t="array" ref="AX25">IFERROR(_xlfn.IFS($AB25="عدد الموظفين/الوحدة",S25*$AA25,$AB25='طريقة الحساب'!$B$2,S25*$AA25/الافتراضات!$B$27,$AB25='طريقة الحساب'!$B$3,S25*$AA25/الافتراضات!$B$26,$AB25='طريقة الحساب'!$B$4,S25*$AA25/الافتراضات!$B$28),"")</f>
        <v>2.5906735751295336</v>
      </c>
      <c r="AY25" s="91" cm="1">
        <f t="array" ref="AY25">IFERROR(_xlfn.IFS($AB25="عدد الموظفين/الوحدة",T25*$AA25,$AB25='طريقة الحساب'!$B$2,T25*$AA25/الافتراضات!$B$27,$AB25='طريقة الحساب'!$B$3,T25*$AA25/الافتراضات!$B$26,$AB25='طريقة الحساب'!$B$4,T25*$AA25/الافتراضات!$B$28),"")</f>
        <v>2.5906735751295336</v>
      </c>
      <c r="AZ25" s="91" cm="1">
        <f t="array" ref="AZ25">IFERROR(_xlfn.IFS($AB25="عدد الموظفين/الوحدة",U25*$AA25,$AB25='طريقة الحساب'!$B$2,U25*$AA25/الافتراضات!$B$27,$AB25='طريقة الحساب'!$B$3,U25*$AA25/الافتراضات!$B$26,$AB25='طريقة الحساب'!$B$4,U25*$AA25/الافتراضات!$B$28),"")</f>
        <v>2.5906735751295336</v>
      </c>
      <c r="BA25" s="91" cm="1">
        <f t="array" ref="BA25">IFERROR(_xlfn.IFS($AB25="عدد الموظفين/الوحدة",V25*$AA25,$AB25='طريقة الحساب'!$B$2,V25*$AA25/الافتراضات!$B$27,$AB25='طريقة الحساب'!$B$3,V25*$AA25/الافتراضات!$B$26,$AB25='طريقة الحساب'!$B$4,V25*$AA25/الافتراضات!$B$28),"")</f>
        <v>2.5906735751295336</v>
      </c>
      <c r="BB25" s="91" cm="1">
        <f t="array" ref="BB25">IFERROR(_xlfn.IFS($AB25="عدد الموظفين/الوحدة",W25*$AA25,$AB25='طريقة الحساب'!$B$2,W25*$AA25/الافتراضات!$B$27,$AB25='طريقة الحساب'!$B$3,W25*$AA25/الافتراضات!$B$26,$AB25='طريقة الحساب'!$B$4,W25*$AA25/الافتراضات!$B$28),"")</f>
        <v>2.5906735751295336</v>
      </c>
      <c r="BC25" s="91" cm="1">
        <f t="array" ref="BC25">IFERROR(_xlfn.IFS($AB25="عدد الموظفين/الوحدة",X25*$AA25,$AB25='طريقة الحساب'!$B$2,X25*$AA25/الافتراضات!$B$27,$AB25='طريقة الحساب'!$B$3,X25*$AA25/الافتراضات!$B$26,$AB25='طريقة الحساب'!$B$4,X25*$AA25/الافتراضات!$B$28),"")</f>
        <v>2.5906735751295336</v>
      </c>
      <c r="BD25" s="91" cm="1">
        <f t="array" ref="BD25">IFERROR(_xlfn.IFS($AB25="عدد الموظفين/الوحدة",Y25*$AA25,$AB25='طريقة الحساب'!$B$2,Y25*$AA25/الافتراضات!$B$27,$AB25='طريقة الحساب'!$B$3,Y25*$AA25/الافتراضات!$B$26,$AB25='طريقة الحساب'!$B$4,Y25*$AA25/الافتراضات!$B$28),"")</f>
        <v>2.5906735751295336</v>
      </c>
      <c r="BE25" s="91" cm="1">
        <f t="array" ref="BE25">IFERROR(_xlfn.IFS($AB25="عدد الموظفين/الوحدة",Z25*$AA25,$AB25='طريقة الحساب'!$B$2,Z25*$AA25/الافتراضات!$B$27,$AB25='طريقة الحساب'!$B$3,Z25*$AA25/الافتراضات!$B$26,$AB25='طريقة الحساب'!$B$4,Z25*$AA25/الافتراضات!$B$28),"")</f>
        <v>0</v>
      </c>
      <c r="BF25" s="92"/>
    </row>
    <row r="26" spans="2:58" x14ac:dyDescent="0.35">
      <c r="B26" s="124" t="s">
        <v>87</v>
      </c>
      <c r="C26" s="131" t="s">
        <v>88</v>
      </c>
      <c r="D26" s="131" t="s">
        <v>90</v>
      </c>
      <c r="E26" s="138" t="s">
        <v>91</v>
      </c>
      <c r="F26" s="125" t="s">
        <v>108</v>
      </c>
      <c r="G26" s="126" t="s">
        <v>84</v>
      </c>
      <c r="H26" s="127"/>
      <c r="I26" s="132">
        <v>850</v>
      </c>
      <c r="J26" s="133">
        <v>400</v>
      </c>
      <c r="K26" s="133">
        <v>420</v>
      </c>
      <c r="L26" s="133">
        <v>441</v>
      </c>
      <c r="M26" s="133">
        <v>463.05</v>
      </c>
      <c r="N26" s="133">
        <v>486.20250000000004</v>
      </c>
      <c r="O26" s="133">
        <v>486.20250000000004</v>
      </c>
      <c r="P26" s="139">
        <v>1</v>
      </c>
      <c r="Q26" s="134" t="s">
        <v>32</v>
      </c>
      <c r="R26" s="128"/>
      <c r="S26" s="135">
        <v>850</v>
      </c>
      <c r="T26" s="135">
        <v>400</v>
      </c>
      <c r="U26" s="135">
        <v>420</v>
      </c>
      <c r="V26" s="135">
        <v>441</v>
      </c>
      <c r="W26" s="135">
        <v>463.05</v>
      </c>
      <c r="X26" s="135">
        <v>486.20250000000004</v>
      </c>
      <c r="Y26" s="135">
        <v>486.20250000000004</v>
      </c>
      <c r="Z26" s="79"/>
      <c r="AA26" s="135">
        <v>1</v>
      </c>
      <c r="AB26" s="136" t="s">
        <v>32</v>
      </c>
      <c r="AC26" s="80"/>
      <c r="AD26" s="81"/>
      <c r="AE26" s="82"/>
      <c r="AF26" s="82"/>
      <c r="AG26" s="82"/>
      <c r="AH26" s="82"/>
      <c r="AI26" s="82"/>
      <c r="AJ26" s="82"/>
      <c r="AK26" s="82"/>
      <c r="AL26" s="82"/>
      <c r="AM26" s="83"/>
      <c r="AN26" s="83"/>
      <c r="AO26" s="84" t="str">
        <f t="shared" si="10"/>
        <v>لا</v>
      </c>
      <c r="AP26" s="85" t="str">
        <f t="shared" si="11"/>
        <v/>
      </c>
      <c r="AQ26" s="84" t="str">
        <f t="shared" si="12"/>
        <v>لا</v>
      </c>
      <c r="AR26" s="85" t="str">
        <f t="shared" si="13"/>
        <v/>
      </c>
      <c r="AS26" s="86" t="str">
        <f t="shared" si="14"/>
        <v>لا</v>
      </c>
      <c r="AT26" s="87" t="str">
        <f t="shared" si="15"/>
        <v/>
      </c>
      <c r="AU26" s="88"/>
      <c r="AV26" s="89"/>
      <c r="AW26" s="90"/>
      <c r="AX26" s="91" cm="1">
        <f t="array" ref="AX26">IFERROR(_xlfn.IFS($AB26="عدد الموظفين/الوحدة",S26*$AA26,$AB26='طريقة الحساب'!$B$2,S26*$AA26/الافتراضات!$B$27,$AB26='طريقة الحساب'!$B$3,S26*$AA26/الافتراضات!$B$26,$AB26='طريقة الحساب'!$B$4,S26*$AA26/الافتراضات!$B$28),"")</f>
        <v>0.85773612000543353</v>
      </c>
      <c r="AY26" s="91" cm="1">
        <f t="array" ref="AY26">IFERROR(_xlfn.IFS($AB26="عدد الموظفين/الوحدة",T26*$AA26,$AB26='طريقة الحساب'!$B$2,T26*$AA26/الافتراضات!$B$27,$AB26='طريقة الحساب'!$B$3,T26*$AA26/الافتراضات!$B$26,$AB26='طريقة الحساب'!$B$4,T26*$AA26/الافتراضات!$B$28),"")</f>
        <v>0.40364052706138048</v>
      </c>
      <c r="AZ26" s="91" cm="1">
        <f t="array" ref="AZ26">IFERROR(_xlfn.IFS($AB26="عدد الموظفين/الوحدة",U26*$AA26,$AB26='طريقة الحساب'!$B$2,U26*$AA26/الافتراضات!$B$27,$AB26='طريقة الحساب'!$B$3,U26*$AA26/الافتراضات!$B$26,$AB26='طريقة الحساب'!$B$4,U26*$AA26/الافتراضات!$B$28),"")</f>
        <v>0.42382255341444952</v>
      </c>
      <c r="BA26" s="91" cm="1">
        <f t="array" ref="BA26">IFERROR(_xlfn.IFS($AB26="عدد الموظفين/الوحدة",V26*$AA26,$AB26='طريقة الحساب'!$B$2,V26*$AA26/الافتراضات!$B$27,$AB26='طريقة الحساب'!$B$3,V26*$AA26/الافتراضات!$B$26,$AB26='طريقة الحساب'!$B$4,V26*$AA26/الافتراضات!$B$28),"")</f>
        <v>0.44501368108517203</v>
      </c>
      <c r="BB26" s="91" cm="1">
        <f t="array" ref="BB26">IFERROR(_xlfn.IFS($AB26="عدد الموظفين/الوحدة",W26*$AA26,$AB26='طريقة الحساب'!$B$2,W26*$AA26/الافتراضات!$B$27,$AB26='طريقة الحساب'!$B$3,W26*$AA26/الافتراضات!$B$26,$AB26='طريقة الحساب'!$B$4,W26*$AA26/الافتراضات!$B$28),"")</f>
        <v>0.46726436513943059</v>
      </c>
      <c r="BC26" s="91" cm="1">
        <f t="array" ref="BC26">IFERROR(_xlfn.IFS($AB26="عدد الموظفين/الوحدة",X26*$AA26,$AB26='طريقة الحساب'!$B$2,X26*$AA26/الافتراضات!$B$27,$AB26='طريقة الحساب'!$B$3,X26*$AA26/الافتراضات!$B$26,$AB26='طريقة الحساب'!$B$4,X26*$AA26/الافتراضات!$B$28),"")</f>
        <v>0.49062758339640217</v>
      </c>
      <c r="BD26" s="91" cm="1">
        <f t="array" ref="BD26">IFERROR(_xlfn.IFS($AB26="عدد الموظفين/الوحدة",Y26*$AA26,$AB26='طريقة الحساب'!$B$2,Y26*$AA26/الافتراضات!$B$27,$AB26='طريقة الحساب'!$B$3,Y26*$AA26/الافتراضات!$B$26,$AB26='طريقة الحساب'!$B$4,Y26*$AA26/الافتراضات!$B$28),"")</f>
        <v>0.49062758339640217</v>
      </c>
      <c r="BE26" s="91" cm="1">
        <f t="array" ref="BE26">IFERROR(_xlfn.IFS($AB26="عدد الموظفين/الوحدة",Z26*$AA26,$AB26='طريقة الحساب'!$B$2,Z26*$AA26/الافتراضات!$B$27,$AB26='طريقة الحساب'!$B$3,Z26*$AA26/الافتراضات!$B$26,$AB26='طريقة الحساب'!$B$4,Z26*$AA26/الافتراضات!$B$28),"")</f>
        <v>0</v>
      </c>
      <c r="BF26" s="92"/>
    </row>
    <row r="27" spans="2:58" x14ac:dyDescent="0.35">
      <c r="B27" s="124" t="s">
        <v>87</v>
      </c>
      <c r="C27" s="131" t="s">
        <v>88</v>
      </c>
      <c r="D27" s="131" t="s">
        <v>90</v>
      </c>
      <c r="E27" s="138" t="s">
        <v>91</v>
      </c>
      <c r="F27" s="125" t="s">
        <v>109</v>
      </c>
      <c r="G27" s="126" t="s">
        <v>84</v>
      </c>
      <c r="H27" s="127"/>
      <c r="I27" s="132">
        <v>40213</v>
      </c>
      <c r="J27" s="133">
        <v>39000</v>
      </c>
      <c r="K27" s="133">
        <v>40950</v>
      </c>
      <c r="L27" s="133">
        <v>42997.5</v>
      </c>
      <c r="M27" s="133">
        <v>45147.375</v>
      </c>
      <c r="N27" s="133">
        <v>47404.743750000001</v>
      </c>
      <c r="O27" s="133">
        <v>47404.743750000001</v>
      </c>
      <c r="P27" s="139">
        <v>5</v>
      </c>
      <c r="Q27" s="134" t="s">
        <v>45</v>
      </c>
      <c r="R27" s="128"/>
      <c r="S27" s="135">
        <v>40213</v>
      </c>
      <c r="T27" s="135">
        <v>39000</v>
      </c>
      <c r="U27" s="135">
        <v>40950</v>
      </c>
      <c r="V27" s="135">
        <v>42997.5</v>
      </c>
      <c r="W27" s="135">
        <v>45147.375</v>
      </c>
      <c r="X27" s="135">
        <v>47404.743750000001</v>
      </c>
      <c r="Y27" s="135">
        <v>47404.743750000001</v>
      </c>
      <c r="Z27" s="79"/>
      <c r="AA27" s="135">
        <v>5</v>
      </c>
      <c r="AB27" s="136" t="s">
        <v>45</v>
      </c>
      <c r="AC27" s="80"/>
      <c r="AD27" s="81"/>
      <c r="AE27" s="82"/>
      <c r="AF27" s="82"/>
      <c r="AG27" s="82"/>
      <c r="AH27" s="82"/>
      <c r="AI27" s="82"/>
      <c r="AJ27" s="82"/>
      <c r="AK27" s="82"/>
      <c r="AL27" s="82"/>
      <c r="AM27" s="83"/>
      <c r="AN27" s="83"/>
      <c r="AO27" s="84" t="str">
        <f t="shared" si="10"/>
        <v>لا</v>
      </c>
      <c r="AP27" s="85" t="str">
        <f t="shared" si="11"/>
        <v/>
      </c>
      <c r="AQ27" s="84" t="str">
        <f t="shared" si="12"/>
        <v>لا</v>
      </c>
      <c r="AR27" s="85" t="str">
        <f t="shared" si="13"/>
        <v/>
      </c>
      <c r="AS27" s="86" t="str">
        <f t="shared" si="14"/>
        <v>لا</v>
      </c>
      <c r="AT27" s="87" t="str">
        <f t="shared" si="15"/>
        <v/>
      </c>
      <c r="AU27" s="88"/>
      <c r="AV27" s="89"/>
      <c r="AW27" s="90"/>
      <c r="AX27" s="91" cm="1">
        <f t="array" ref="AX27">IFERROR(_xlfn.IFS($AB27="عدد الموظفين/الوحدة",S27*$AA27,$AB27='طريقة الحساب'!$B$2,S27*$AA27/الافتراضات!$B$27,$AB27='طريقة الحساب'!$B$3,S27*$AA27/الافتراضات!$B$26,$AB27='طريقة الحساب'!$B$4,S27*$AA27/الافتراضات!$B$28),"")</f>
        <v>3.3815826072331863</v>
      </c>
      <c r="AY27" s="91" cm="1">
        <f t="array" ref="AY27">IFERROR(_xlfn.IFS($AB27="عدد الموظفين/الوحدة",T27*$AA27,$AB27='طريقة الحساب'!$B$2,T27*$AA27/الافتراضات!$B$27,$AB27='طريقة الحساب'!$B$3,T27*$AA27/الافتراضات!$B$26,$AB27='طريقة الحساب'!$B$4,T27*$AA27/الافتراضات!$B$28),"")</f>
        <v>3.2795792823737169</v>
      </c>
      <c r="AZ27" s="91" cm="1">
        <f t="array" ref="AZ27">IFERROR(_xlfn.IFS($AB27="عدد الموظفين/الوحدة",U27*$AA27,$AB27='طريقة الحساب'!$B$2,U27*$AA27/الافتراضات!$B$27,$AB27='طريقة الحساب'!$B$3,U27*$AA27/الافتراضات!$B$26,$AB27='طريقة الحساب'!$B$4,U27*$AA27/الافتراضات!$B$28),"")</f>
        <v>3.4435582464924024</v>
      </c>
      <c r="BA27" s="91" cm="1">
        <f t="array" ref="BA27">IFERROR(_xlfn.IFS($AB27="عدد الموظفين/الوحدة",V27*$AA27,$AB27='طريقة الحساب'!$B$2,V27*$AA27/الافتراضات!$B$27,$AB27='طريقة الحساب'!$B$3,V27*$AA27/الافتراضات!$B$26,$AB27='طريقة الحساب'!$B$4,V27*$AA27/الافتراضات!$B$28),"")</f>
        <v>3.6157361588170227</v>
      </c>
      <c r="BB27" s="91" cm="1">
        <f t="array" ref="BB27">IFERROR(_xlfn.IFS($AB27="عدد الموظفين/الوحدة",W27*$AA27,$AB27='طريقة الحساب'!$B$2,W27*$AA27/الافتراضات!$B$27,$AB27='طريقة الحساب'!$B$3,W27*$AA27/الافتراضات!$B$26,$AB27='طريقة الحساب'!$B$4,W27*$AA27/الافتراضات!$B$28),"")</f>
        <v>3.7965229667578737</v>
      </c>
      <c r="BC27" s="91" cm="1">
        <f t="array" ref="BC27">IFERROR(_xlfn.IFS($AB27="عدد الموظفين/الوحدة",X27*$AA27,$AB27='طريقة الحساب'!$B$2,X27*$AA27/الافتراضات!$B$27,$AB27='طريقة الحساب'!$B$3,X27*$AA27/الافتراضات!$B$26,$AB27='طريقة الحساب'!$B$4,X27*$AA27/الافتراضات!$B$28),"")</f>
        <v>3.9863491150957673</v>
      </c>
      <c r="BD27" s="91" cm="1">
        <f t="array" ref="BD27">IFERROR(_xlfn.IFS($AB27="عدد الموظفين/الوحدة",Y27*$AA27,$AB27='طريقة الحساب'!$B$2,Y27*$AA27/الافتراضات!$B$27,$AB27='طريقة الحساب'!$B$3,Y27*$AA27/الافتراضات!$B$26,$AB27='طريقة الحساب'!$B$4,Y27*$AA27/الافتراضات!$B$28),"")</f>
        <v>3.9863491150957673</v>
      </c>
      <c r="BE27" s="91" cm="1">
        <f t="array" ref="BE27">IFERROR(_xlfn.IFS($AB27="عدد الموظفين/الوحدة",Z27*$AA27,$AB27='طريقة الحساب'!$B$2,Z27*$AA27/الافتراضات!$B$27,$AB27='طريقة الحساب'!$B$3,Z27*$AA27/الافتراضات!$B$26,$AB27='طريقة الحساب'!$B$4,Z27*$AA27/الافتراضات!$B$28),"")</f>
        <v>0</v>
      </c>
      <c r="BF27" s="92"/>
    </row>
    <row r="28" spans="2:58" x14ac:dyDescent="0.35">
      <c r="B28" s="124" t="s">
        <v>87</v>
      </c>
      <c r="C28" s="131" t="s">
        <v>88</v>
      </c>
      <c r="D28" s="131" t="s">
        <v>90</v>
      </c>
      <c r="E28" s="138" t="s">
        <v>91</v>
      </c>
      <c r="F28" s="125" t="s">
        <v>110</v>
      </c>
      <c r="G28" s="126" t="s">
        <v>84</v>
      </c>
      <c r="H28" s="127"/>
      <c r="I28" s="132">
        <v>89</v>
      </c>
      <c r="J28" s="133">
        <v>1200</v>
      </c>
      <c r="K28" s="133">
        <v>1260</v>
      </c>
      <c r="L28" s="133">
        <v>1323</v>
      </c>
      <c r="M28" s="133">
        <v>1389.15</v>
      </c>
      <c r="N28" s="133">
        <v>1458.6075000000001</v>
      </c>
      <c r="O28" s="133">
        <v>1458.6075000000001</v>
      </c>
      <c r="P28" s="139">
        <v>15</v>
      </c>
      <c r="Q28" s="134" t="s">
        <v>45</v>
      </c>
      <c r="R28" s="128"/>
      <c r="S28" s="135">
        <v>89</v>
      </c>
      <c r="T28" s="135">
        <v>1200</v>
      </c>
      <c r="U28" s="135">
        <v>1260</v>
      </c>
      <c r="V28" s="135">
        <v>1323</v>
      </c>
      <c r="W28" s="135">
        <v>1389.15</v>
      </c>
      <c r="X28" s="135">
        <v>1458.6075000000001</v>
      </c>
      <c r="Y28" s="135">
        <v>1458.6075000000001</v>
      </c>
      <c r="Z28" s="79"/>
      <c r="AA28" s="135">
        <v>15</v>
      </c>
      <c r="AB28" s="136" t="s">
        <v>45</v>
      </c>
      <c r="AC28" s="80"/>
      <c r="AD28" s="81"/>
      <c r="AE28" s="82"/>
      <c r="AF28" s="82"/>
      <c r="AG28" s="82"/>
      <c r="AH28" s="82"/>
      <c r="AI28" s="82"/>
      <c r="AJ28" s="82"/>
      <c r="AK28" s="82"/>
      <c r="AL28" s="82"/>
      <c r="AM28" s="83"/>
      <c r="AN28" s="83"/>
      <c r="AO28" s="84" t="str">
        <f t="shared" si="10"/>
        <v>لا</v>
      </c>
      <c r="AP28" s="85" t="str">
        <f t="shared" si="11"/>
        <v/>
      </c>
      <c r="AQ28" s="84" t="str">
        <f t="shared" si="12"/>
        <v>لا</v>
      </c>
      <c r="AR28" s="85" t="str">
        <f t="shared" si="13"/>
        <v/>
      </c>
      <c r="AS28" s="86" t="str">
        <f t="shared" si="14"/>
        <v>لا</v>
      </c>
      <c r="AT28" s="87" t="str">
        <f t="shared" si="15"/>
        <v/>
      </c>
      <c r="AU28" s="88"/>
      <c r="AV28" s="89"/>
      <c r="AW28" s="90"/>
      <c r="AX28" s="91" cm="1">
        <f t="array" ref="AX28">IFERROR(_xlfn.IFS($AB28="عدد الموظفين/الوحدة",S28*$AA28,$AB28='طريقة الحساب'!$B$2,S28*$AA28/الافتراضات!$B$27,$AB28='طريقة الحساب'!$B$3,S28*$AA28/الافتراضات!$B$26,$AB28='طريقة الحساب'!$B$4,S28*$AA28/الافتراضات!$B$28),"")</f>
        <v>2.245250431778929E-2</v>
      </c>
      <c r="AY28" s="91" cm="1">
        <f t="array" ref="AY28">IFERROR(_xlfn.IFS($AB28="عدد الموظفين/الوحدة",T28*$AA28,$AB28='طريقة الحساب'!$B$2,T28*$AA28/الافتراضات!$B$27,$AB28='طريقة الحساب'!$B$3,T28*$AA28/الافتراضات!$B$26,$AB28='طريقة الحساب'!$B$4,T28*$AA28/الافتراضات!$B$28),"")</f>
        <v>0.3027303952960354</v>
      </c>
      <c r="AZ28" s="91" cm="1">
        <f t="array" ref="AZ28">IFERROR(_xlfn.IFS($AB28="عدد الموظفين/الوحدة",U28*$AA28,$AB28='طريقة الحساب'!$B$2,U28*$AA28/الافتراضات!$B$27,$AB28='طريقة الحساب'!$B$3,U28*$AA28/الافتراضات!$B$26,$AB28='طريقة الحساب'!$B$4,U28*$AA28/الافتراضات!$B$28),"")</f>
        <v>0.31786691506083714</v>
      </c>
      <c r="BA28" s="91" cm="1">
        <f t="array" ref="BA28">IFERROR(_xlfn.IFS($AB28="عدد الموظفين/الوحدة",V28*$AA28,$AB28='طريقة الحساب'!$B$2,V28*$AA28/الافتراضات!$B$27,$AB28='طريقة الحساب'!$B$3,V28*$AA28/الافتراضات!$B$26,$AB28='طريقة الحساب'!$B$4,V28*$AA28/الافتراضات!$B$28),"")</f>
        <v>0.333760260813879</v>
      </c>
      <c r="BB28" s="91" cm="1">
        <f t="array" ref="BB28">IFERROR(_xlfn.IFS($AB28="عدد الموظفين/الوحدة",W28*$AA28,$AB28='طريقة الحساب'!$B$2,W28*$AA28/الافتراضات!$B$27,$AB28='طريقة الحساب'!$B$3,W28*$AA28/الافتراضات!$B$26,$AB28='طريقة الحساب'!$B$4,W28*$AA28/الافتراضات!$B$28),"")</f>
        <v>0.35044827385457294</v>
      </c>
      <c r="BC28" s="91" cm="1">
        <f t="array" ref="BC28">IFERROR(_xlfn.IFS($AB28="عدد الموظفين/الوحدة",X28*$AA28,$AB28='طريقة الحساب'!$B$2,X28*$AA28/الافتراضات!$B$27,$AB28='طريقة الحساب'!$B$3,X28*$AA28/الافتراضات!$B$26,$AB28='طريقة الحساب'!$B$4,X28*$AA28/الافتراضات!$B$28),"")</f>
        <v>0.36797068754730167</v>
      </c>
      <c r="BD28" s="91" cm="1">
        <f t="array" ref="BD28">IFERROR(_xlfn.IFS($AB28="عدد الموظفين/الوحدة",Y28*$AA28,$AB28='طريقة الحساب'!$B$2,Y28*$AA28/الافتراضات!$B$27,$AB28='طريقة الحساب'!$B$3,Y28*$AA28/الافتراضات!$B$26,$AB28='طريقة الحساب'!$B$4,Y28*$AA28/الافتراضات!$B$28),"")</f>
        <v>0.36797068754730167</v>
      </c>
      <c r="BE28" s="91" cm="1">
        <f t="array" ref="BE28">IFERROR(_xlfn.IFS($AB28="عدد الموظفين/الوحدة",Z28*$AA28,$AB28='طريقة الحساب'!$B$2,Z28*$AA28/الافتراضات!$B$27,$AB28='طريقة الحساب'!$B$3,Z28*$AA28/الافتراضات!$B$26,$AB28='طريقة الحساب'!$B$4,Z28*$AA28/الافتراضات!$B$28),"")</f>
        <v>0</v>
      </c>
      <c r="BF28" s="92"/>
    </row>
    <row r="29" spans="2:58" x14ac:dyDescent="0.35">
      <c r="B29" s="124" t="s">
        <v>87</v>
      </c>
      <c r="C29" s="131" t="s">
        <v>88</v>
      </c>
      <c r="D29" s="131" t="s">
        <v>90</v>
      </c>
      <c r="E29" s="138" t="s">
        <v>91</v>
      </c>
      <c r="F29" s="125" t="s">
        <v>111</v>
      </c>
      <c r="G29" s="126" t="s">
        <v>84</v>
      </c>
      <c r="H29" s="127"/>
      <c r="I29" s="132">
        <v>1080</v>
      </c>
      <c r="J29" s="133">
        <v>1134</v>
      </c>
      <c r="K29" s="133">
        <v>1190.7</v>
      </c>
      <c r="L29" s="133">
        <v>1250.2350000000001</v>
      </c>
      <c r="M29" s="133">
        <v>1312.7467500000002</v>
      </c>
      <c r="N29" s="133">
        <v>1378.3840875000003</v>
      </c>
      <c r="O29" s="133">
        <v>1378.3840875000003</v>
      </c>
      <c r="P29" s="139">
        <v>1</v>
      </c>
      <c r="Q29" s="134" t="s">
        <v>32</v>
      </c>
      <c r="R29" s="128"/>
      <c r="S29" s="135">
        <v>1080</v>
      </c>
      <c r="T29" s="135">
        <v>1134</v>
      </c>
      <c r="U29" s="135">
        <v>1190.7</v>
      </c>
      <c r="V29" s="135">
        <v>1250.2350000000001</v>
      </c>
      <c r="W29" s="135">
        <v>1312.7467500000002</v>
      </c>
      <c r="X29" s="135">
        <v>1378.3840875000003</v>
      </c>
      <c r="Y29" s="135">
        <v>1378.3840875000003</v>
      </c>
      <c r="Z29" s="79"/>
      <c r="AA29" s="135">
        <v>1</v>
      </c>
      <c r="AB29" s="136" t="s">
        <v>32</v>
      </c>
      <c r="AC29" s="80"/>
      <c r="AD29" s="81"/>
      <c r="AE29" s="82"/>
      <c r="AF29" s="82"/>
      <c r="AG29" s="82"/>
      <c r="AH29" s="82"/>
      <c r="AI29" s="82"/>
      <c r="AJ29" s="82"/>
      <c r="AK29" s="82"/>
      <c r="AL29" s="82"/>
      <c r="AM29" s="83"/>
      <c r="AN29" s="83"/>
      <c r="AO29" s="84" t="str">
        <f t="shared" si="10"/>
        <v>لا</v>
      </c>
      <c r="AP29" s="85" t="str">
        <f t="shared" si="11"/>
        <v/>
      </c>
      <c r="AQ29" s="84" t="str">
        <f t="shared" si="12"/>
        <v>لا</v>
      </c>
      <c r="AR29" s="85" t="str">
        <f t="shared" si="13"/>
        <v/>
      </c>
      <c r="AS29" s="86" t="str">
        <f t="shared" si="14"/>
        <v>لا</v>
      </c>
      <c r="AT29" s="87" t="str">
        <f t="shared" si="15"/>
        <v/>
      </c>
      <c r="AU29" s="88"/>
      <c r="AV29" s="89"/>
      <c r="AW29" s="90"/>
      <c r="AX29" s="91" cm="1">
        <f t="array" ref="AX29">IFERROR(_xlfn.IFS($AB29="عدد الموظفين/الوحدة",S29*$AA29,$AB29='طريقة الحساب'!$B$2,S29*$AA29/الافتراضات!$B$27,$AB29='طريقة الحساب'!$B$3,S29*$AA29/الافتراضات!$B$26,$AB29='طريقة الحساب'!$B$4,S29*$AA29/الافتراضات!$B$28),"")</f>
        <v>1.0898294230657273</v>
      </c>
      <c r="AY29" s="91" cm="1">
        <f t="array" ref="AY29">IFERROR(_xlfn.IFS($AB29="عدد الموظفين/الوحدة",T29*$AA29,$AB29='طريقة الحساب'!$B$2,T29*$AA29/الافتراضات!$B$27,$AB29='طريقة الحساب'!$B$3,T29*$AA29/الافتراضات!$B$26,$AB29='طريقة الحساب'!$B$4,T29*$AA29/الافتراضات!$B$28),"")</f>
        <v>1.1443208942190137</v>
      </c>
      <c r="AZ29" s="91" cm="1">
        <f t="array" ref="AZ29">IFERROR(_xlfn.IFS($AB29="عدد الموظفين/الوحدة",U29*$AA29,$AB29='طريقة الحساب'!$B$2,U29*$AA29/الافتراضات!$B$27,$AB29='طريقة الحساب'!$B$3,U29*$AA29/الافتراضات!$B$26,$AB29='طريقة الحساب'!$B$4,U29*$AA29/الافتراضات!$B$28),"")</f>
        <v>1.2015369389299644</v>
      </c>
      <c r="BA29" s="91" cm="1">
        <f t="array" ref="BA29">IFERROR(_xlfn.IFS($AB29="عدد الموظفين/الوحدة",V29*$AA29,$AB29='طريقة الحساب'!$B$2,V29*$AA29/الافتراضات!$B$27,$AB29='طريقة الحساب'!$B$3,V29*$AA29/الافتراضات!$B$26,$AB29='طريقة الحساب'!$B$4,V29*$AA29/الافتراضات!$B$28),"")</f>
        <v>1.2616137858764627</v>
      </c>
      <c r="BB29" s="91" cm="1">
        <f t="array" ref="BB29">IFERROR(_xlfn.IFS($AB29="عدد الموظفين/الوحدة",W29*$AA29,$AB29='طريقة الحساب'!$B$2,W29*$AA29/الافتراضات!$B$27,$AB29='طريقة الحساب'!$B$3,W29*$AA29/الافتراضات!$B$26,$AB29='طريقة الحساب'!$B$4,W29*$AA29/الافتراضات!$B$28),"")</f>
        <v>1.324694475170286</v>
      </c>
      <c r="BC29" s="91" cm="1">
        <f t="array" ref="BC29">IFERROR(_xlfn.IFS($AB29="عدد الموظفين/الوحدة",X29*$AA29,$AB29='طريقة الحساب'!$B$2,X29*$AA29/الافتراضات!$B$27,$AB29='طريقة الحساب'!$B$3,X29*$AA29/الافتراضات!$B$26,$AB29='طريقة الحساب'!$B$4,X29*$AA29/الافتراضات!$B$28),"")</f>
        <v>1.3909291989288004</v>
      </c>
      <c r="BD29" s="91" cm="1">
        <f t="array" ref="BD29">IFERROR(_xlfn.IFS($AB29="عدد الموظفين/الوحدة",Y29*$AA29,$AB29='طريقة الحساب'!$B$2,Y29*$AA29/الافتراضات!$B$27,$AB29='طريقة الحساب'!$B$3,Y29*$AA29/الافتراضات!$B$26,$AB29='طريقة الحساب'!$B$4,Y29*$AA29/الافتراضات!$B$28),"")</f>
        <v>1.3909291989288004</v>
      </c>
      <c r="BE29" s="91" cm="1">
        <f t="array" ref="BE29">IFERROR(_xlfn.IFS($AB29="عدد الموظفين/الوحدة",Z29*$AA29,$AB29='طريقة الحساب'!$B$2,Z29*$AA29/الافتراضات!$B$27,$AB29='طريقة الحساب'!$B$3,Z29*$AA29/الافتراضات!$B$26,$AB29='طريقة الحساب'!$B$4,Z29*$AA29/الافتراضات!$B$28),"")</f>
        <v>0</v>
      </c>
      <c r="BF29" s="92"/>
    </row>
    <row r="30" spans="2:58" x14ac:dyDescent="0.35">
      <c r="B30" s="124" t="s">
        <v>87</v>
      </c>
      <c r="C30" s="131" t="s">
        <v>88</v>
      </c>
      <c r="D30" s="131" t="s">
        <v>90</v>
      </c>
      <c r="E30" s="138" t="s">
        <v>91</v>
      </c>
      <c r="F30" s="125" t="s">
        <v>112</v>
      </c>
      <c r="G30" s="126" t="s">
        <v>84</v>
      </c>
      <c r="H30" s="127"/>
      <c r="I30" s="132">
        <v>4183.2</v>
      </c>
      <c r="J30" s="133">
        <v>4282.0932807999952</v>
      </c>
      <c r="K30" s="133">
        <v>4381.1799391168461</v>
      </c>
      <c r="L30" s="133">
        <v>4580.1277657398905</v>
      </c>
      <c r="M30" s="133">
        <v>4657.8659598889099</v>
      </c>
      <c r="N30" s="133">
        <v>4770.5098612611582</v>
      </c>
      <c r="O30" s="133">
        <v>4770.5098612611582</v>
      </c>
      <c r="P30" s="139">
        <v>40</v>
      </c>
      <c r="Q30" s="134" t="s">
        <v>45</v>
      </c>
      <c r="R30" s="128"/>
      <c r="S30" s="135">
        <v>4183.2</v>
      </c>
      <c r="T30" s="135">
        <v>4282.0932807999952</v>
      </c>
      <c r="U30" s="135">
        <v>4381.1799391168461</v>
      </c>
      <c r="V30" s="135">
        <v>4580.1277657398905</v>
      </c>
      <c r="W30" s="135">
        <v>4657.8659598889099</v>
      </c>
      <c r="X30" s="135">
        <v>4770.5098612611582</v>
      </c>
      <c r="Y30" s="135">
        <v>4770.5098612611582</v>
      </c>
      <c r="Z30" s="79"/>
      <c r="AA30" s="135">
        <v>40</v>
      </c>
      <c r="AB30" s="136" t="s">
        <v>45</v>
      </c>
      <c r="AC30" s="80"/>
      <c r="AD30" s="81"/>
      <c r="AE30" s="82"/>
      <c r="AF30" s="82"/>
      <c r="AG30" s="82"/>
      <c r="AH30" s="82"/>
      <c r="AI30" s="82"/>
      <c r="AJ30" s="82"/>
      <c r="AK30" s="82"/>
      <c r="AL30" s="82"/>
      <c r="AM30" s="83"/>
      <c r="AN30" s="83"/>
      <c r="AO30" s="84" t="str">
        <f t="shared" si="10"/>
        <v>لا</v>
      </c>
      <c r="AP30" s="85" t="str">
        <f t="shared" si="11"/>
        <v/>
      </c>
      <c r="AQ30" s="84" t="str">
        <f t="shared" si="12"/>
        <v>لا</v>
      </c>
      <c r="AR30" s="85" t="str">
        <f t="shared" si="13"/>
        <v/>
      </c>
      <c r="AS30" s="86" t="str">
        <f t="shared" si="14"/>
        <v>لا</v>
      </c>
      <c r="AT30" s="87" t="str">
        <f t="shared" si="15"/>
        <v/>
      </c>
      <c r="AU30" s="88"/>
      <c r="AV30" s="89"/>
      <c r="AW30" s="90"/>
      <c r="AX30" s="91" cm="1">
        <f t="array" ref="AX30">IFERROR(_xlfn.IFS($AB30="عدد الموظفين/الوحدة",S30*$AA30,$AB30='طريقة الحساب'!$B$2,S30*$AA30/الافتراضات!$B$27,$AB30='طريقة الحساب'!$B$3,S30*$AA30/الافتراضات!$B$26,$AB30='طريقة الحساب'!$B$4,S30*$AA30/الافتراضات!$B$28),"")</f>
        <v>2.814181754671945</v>
      </c>
      <c r="AY30" s="91" cm="1">
        <f t="array" ref="AY30">IFERROR(_xlfn.IFS($AB30="عدد الموظفين/الوحدة",T30*$AA30,$AB30='طريقة الحساب'!$B$2,T30*$AA30/الافتراضات!$B$27,$AB30='طريقة الحساب'!$B$3,T30*$AA30/الافتراضات!$B$26,$AB30='طريقة الحساب'!$B$4,T30*$AA30/الافتراضات!$B$28),"")</f>
        <v>2.8807106479801772</v>
      </c>
      <c r="AZ30" s="91" cm="1">
        <f t="array" ref="AZ30">IFERROR(_xlfn.IFS($AB30="عدد الموظفين/الوحدة",U30*$AA30,$AB30='طريقة الحساب'!$B$2,U30*$AA30/الافتراضات!$B$27,$AB30='طريقة الحساب'!$B$3,U30*$AA30/الافتراضات!$B$26,$AB30='طريقة الحساب'!$B$4,U30*$AA30/الافتراضات!$B$28),"")</f>
        <v>2.9473696329597847</v>
      </c>
      <c r="BA30" s="91" cm="1">
        <f t="array" ref="BA30">IFERROR(_xlfn.IFS($AB30="عدد الموظفين/الوحدة",V30*$AA30,$AB30='طريقة الحساب'!$B$2,V30*$AA30/الافتراضات!$B$27,$AB30='طريقة الحساب'!$B$3,V30*$AA30/الافتراضات!$B$26,$AB30='طريقة الحساب'!$B$4,V30*$AA30/الافتراضات!$B$28),"")</f>
        <v>3.0812086422861875</v>
      </c>
      <c r="BB30" s="91" cm="1">
        <f t="array" ref="BB30">IFERROR(_xlfn.IFS($AB30="عدد الموظفين/الوحدة",W30*$AA30,$AB30='طريقة الحساب'!$B$2,W30*$AA30/الافتراضات!$B$27,$AB30='طريقة الحساب'!$B$3,W30*$AA30/الافتراضات!$B$26,$AB30='طريقة الحساب'!$B$4,W30*$AA30/الافتراضات!$B$28),"")</f>
        <v>3.133505785051371</v>
      </c>
      <c r="BC30" s="91" cm="1">
        <f t="array" ref="BC30">IFERROR(_xlfn.IFS($AB30="عدد الموظفين/الوحدة",X30*$AA30,$AB30='طريقة الحساب'!$B$2,X30*$AA30/الافتراضات!$B$27,$AB30='طريقة الحساب'!$B$3,X30*$AA30/الافتراضات!$B$26,$AB30='طريقة الحساب'!$B$4,X30*$AA30/الافتراضات!$B$28),"")</f>
        <v>3.2092851912516118</v>
      </c>
      <c r="BD30" s="91" cm="1">
        <f t="array" ref="BD30">IFERROR(_xlfn.IFS($AB30="عدد الموظفين/الوحدة",Y30*$AA30,$AB30='طريقة الحساب'!$B$2,Y30*$AA30/الافتراضات!$B$27,$AB30='طريقة الحساب'!$B$3,Y30*$AA30/الافتراضات!$B$26,$AB30='طريقة الحساب'!$B$4,Y30*$AA30/الافتراضات!$B$28),"")</f>
        <v>3.2092851912516118</v>
      </c>
      <c r="BE30" s="91" cm="1">
        <f t="array" ref="BE30">IFERROR(_xlfn.IFS($AB30="عدد الموظفين/الوحدة",Z30*$AA30,$AB30='طريقة الحساب'!$B$2,Z30*$AA30/الافتراضات!$B$27,$AB30='طريقة الحساب'!$B$3,Z30*$AA30/الافتراضات!$B$26,$AB30='طريقة الحساب'!$B$4,Z30*$AA30/الافتراضات!$B$28),"")</f>
        <v>0</v>
      </c>
      <c r="BF30" s="92"/>
    </row>
    <row r="31" spans="2:58" x14ac:dyDescent="0.35">
      <c r="B31" s="124" t="s">
        <v>87</v>
      </c>
      <c r="C31" s="131" t="s">
        <v>88</v>
      </c>
      <c r="D31" s="131" t="s">
        <v>90</v>
      </c>
      <c r="E31" s="138" t="s">
        <v>91</v>
      </c>
      <c r="F31" s="125" t="s">
        <v>113</v>
      </c>
      <c r="G31" s="126" t="s">
        <v>84</v>
      </c>
      <c r="H31" s="127"/>
      <c r="I31" s="132">
        <v>50</v>
      </c>
      <c r="J31" s="133">
        <v>50</v>
      </c>
      <c r="K31" s="133">
        <v>50</v>
      </c>
      <c r="L31" s="133">
        <v>50</v>
      </c>
      <c r="M31" s="133">
        <v>50</v>
      </c>
      <c r="N31" s="133">
        <v>50</v>
      </c>
      <c r="O31" s="133">
        <v>50</v>
      </c>
      <c r="P31" s="139">
        <v>2</v>
      </c>
      <c r="Q31" s="134" t="s">
        <v>32</v>
      </c>
      <c r="R31" s="128"/>
      <c r="S31" s="135">
        <v>50</v>
      </c>
      <c r="T31" s="135">
        <v>50</v>
      </c>
      <c r="U31" s="135">
        <v>50</v>
      </c>
      <c r="V31" s="135">
        <v>50</v>
      </c>
      <c r="W31" s="135">
        <v>50</v>
      </c>
      <c r="X31" s="135">
        <v>50</v>
      </c>
      <c r="Y31" s="135">
        <v>50</v>
      </c>
      <c r="Z31" s="79"/>
      <c r="AA31" s="135">
        <v>2</v>
      </c>
      <c r="AB31" s="136" t="s">
        <v>32</v>
      </c>
      <c r="AC31" s="80"/>
      <c r="AD31" s="81"/>
      <c r="AE31" s="82"/>
      <c r="AF31" s="82"/>
      <c r="AG31" s="82"/>
      <c r="AH31" s="82"/>
      <c r="AI31" s="82"/>
      <c r="AJ31" s="82"/>
      <c r="AK31" s="82"/>
      <c r="AL31" s="82"/>
      <c r="AM31" s="83"/>
      <c r="AN31" s="83"/>
      <c r="AO31" s="84" t="str">
        <f t="shared" si="10"/>
        <v>لا</v>
      </c>
      <c r="AP31" s="85" t="str">
        <f t="shared" si="11"/>
        <v/>
      </c>
      <c r="AQ31" s="84" t="str">
        <f t="shared" si="12"/>
        <v>لا</v>
      </c>
      <c r="AR31" s="85" t="str">
        <f t="shared" si="13"/>
        <v/>
      </c>
      <c r="AS31" s="86" t="str">
        <f t="shared" si="14"/>
        <v>لا</v>
      </c>
      <c r="AT31" s="87" t="str">
        <f t="shared" si="15"/>
        <v/>
      </c>
      <c r="AU31" s="88"/>
      <c r="AV31" s="89"/>
      <c r="AW31" s="90"/>
      <c r="AX31" s="91" cm="1">
        <f t="array" ref="AX31">IFERROR(_xlfn.IFS($AB31="عدد الموظفين/الوحدة",S31*$AA31,$AB31='طريقة الحساب'!$B$2,S31*$AA31/الافتراضات!$B$27,$AB31='طريقة الحساب'!$B$3,S31*$AA31/الافتراضات!$B$26,$AB31='طريقة الحساب'!$B$4,S31*$AA31/الافتراضات!$B$28),"")</f>
        <v>0.10091013176534512</v>
      </c>
      <c r="AY31" s="91" cm="1">
        <f t="array" ref="AY31">IFERROR(_xlfn.IFS($AB31="عدد الموظفين/الوحدة",T31*$AA31,$AB31='طريقة الحساب'!$B$2,T31*$AA31/الافتراضات!$B$27,$AB31='طريقة الحساب'!$B$3,T31*$AA31/الافتراضات!$B$26,$AB31='طريقة الحساب'!$B$4,T31*$AA31/الافتراضات!$B$28),"")</f>
        <v>0.10091013176534512</v>
      </c>
      <c r="AZ31" s="91" cm="1">
        <f t="array" ref="AZ31">IFERROR(_xlfn.IFS($AB31="عدد الموظفين/الوحدة",U31*$AA31,$AB31='طريقة الحساب'!$B$2,U31*$AA31/الافتراضات!$B$27,$AB31='طريقة الحساب'!$B$3,U31*$AA31/الافتراضات!$B$26,$AB31='طريقة الحساب'!$B$4,U31*$AA31/الافتراضات!$B$28),"")</f>
        <v>0.10091013176534512</v>
      </c>
      <c r="BA31" s="91" cm="1">
        <f t="array" ref="BA31">IFERROR(_xlfn.IFS($AB31="عدد الموظفين/الوحدة",V31*$AA31,$AB31='طريقة الحساب'!$B$2,V31*$AA31/الافتراضات!$B$27,$AB31='طريقة الحساب'!$B$3,V31*$AA31/الافتراضات!$B$26,$AB31='طريقة الحساب'!$B$4,V31*$AA31/الافتراضات!$B$28),"")</f>
        <v>0.10091013176534512</v>
      </c>
      <c r="BB31" s="91" cm="1">
        <f t="array" ref="BB31">IFERROR(_xlfn.IFS($AB31="عدد الموظفين/الوحدة",W31*$AA31,$AB31='طريقة الحساب'!$B$2,W31*$AA31/الافتراضات!$B$27,$AB31='طريقة الحساب'!$B$3,W31*$AA31/الافتراضات!$B$26,$AB31='طريقة الحساب'!$B$4,W31*$AA31/الافتراضات!$B$28),"")</f>
        <v>0.10091013176534512</v>
      </c>
      <c r="BC31" s="91" cm="1">
        <f t="array" ref="BC31">IFERROR(_xlfn.IFS($AB31="عدد الموظفين/الوحدة",X31*$AA31,$AB31='طريقة الحساب'!$B$2,X31*$AA31/الافتراضات!$B$27,$AB31='طريقة الحساب'!$B$3,X31*$AA31/الافتراضات!$B$26,$AB31='طريقة الحساب'!$B$4,X31*$AA31/الافتراضات!$B$28),"")</f>
        <v>0.10091013176534512</v>
      </c>
      <c r="BD31" s="91" cm="1">
        <f t="array" ref="BD31">IFERROR(_xlfn.IFS($AB31="عدد الموظفين/الوحدة",Y31*$AA31,$AB31='طريقة الحساب'!$B$2,Y31*$AA31/الافتراضات!$B$27,$AB31='طريقة الحساب'!$B$3,Y31*$AA31/الافتراضات!$B$26,$AB31='طريقة الحساب'!$B$4,Y31*$AA31/الافتراضات!$B$28),"")</f>
        <v>0.10091013176534512</v>
      </c>
      <c r="BE31" s="91" cm="1">
        <f t="array" ref="BE31">IFERROR(_xlfn.IFS($AB31="عدد الموظفين/الوحدة",Z31*$AA31,$AB31='طريقة الحساب'!$B$2,Z31*$AA31/الافتراضات!$B$27,$AB31='طريقة الحساب'!$B$3,Z31*$AA31/الافتراضات!$B$26,$AB31='طريقة الحساب'!$B$4,Z31*$AA31/الافتراضات!$B$28),"")</f>
        <v>0</v>
      </c>
      <c r="BF31" s="92"/>
    </row>
    <row r="32" spans="2:58" x14ac:dyDescent="0.35">
      <c r="B32" s="124" t="s">
        <v>87</v>
      </c>
      <c r="C32" s="131" t="s">
        <v>88</v>
      </c>
      <c r="D32" s="131" t="s">
        <v>90</v>
      </c>
      <c r="E32" s="138" t="s">
        <v>91</v>
      </c>
      <c r="F32" s="125" t="s">
        <v>114</v>
      </c>
      <c r="G32" s="126" t="s">
        <v>84</v>
      </c>
      <c r="H32" s="127"/>
      <c r="I32" s="132">
        <v>96</v>
      </c>
      <c r="J32" s="133">
        <v>100.80000000000001</v>
      </c>
      <c r="K32" s="133">
        <v>105.84000000000002</v>
      </c>
      <c r="L32" s="133">
        <v>111.13200000000002</v>
      </c>
      <c r="M32" s="133">
        <v>116.68860000000002</v>
      </c>
      <c r="N32" s="133">
        <v>122.52303000000003</v>
      </c>
      <c r="O32" s="133">
        <v>122.52303000000003</v>
      </c>
      <c r="P32" s="139">
        <v>30</v>
      </c>
      <c r="Q32" s="134" t="s">
        <v>45</v>
      </c>
      <c r="R32" s="128"/>
      <c r="S32" s="135">
        <v>96</v>
      </c>
      <c r="T32" s="135">
        <v>100.80000000000001</v>
      </c>
      <c r="U32" s="135">
        <v>105.84000000000002</v>
      </c>
      <c r="V32" s="135">
        <v>111.13200000000002</v>
      </c>
      <c r="W32" s="135">
        <v>116.68860000000002</v>
      </c>
      <c r="X32" s="135">
        <v>122.52303000000003</v>
      </c>
      <c r="Y32" s="135">
        <v>122.52303000000003</v>
      </c>
      <c r="Z32" s="79"/>
      <c r="AA32" s="135">
        <v>30</v>
      </c>
      <c r="AB32" s="136" t="s">
        <v>45</v>
      </c>
      <c r="AC32" s="80"/>
      <c r="AD32" s="81"/>
      <c r="AE32" s="82"/>
      <c r="AF32" s="82"/>
      <c r="AG32" s="82"/>
      <c r="AH32" s="82"/>
      <c r="AI32" s="82"/>
      <c r="AJ32" s="82"/>
      <c r="AK32" s="82"/>
      <c r="AL32" s="82"/>
      <c r="AM32" s="83"/>
      <c r="AN32" s="83"/>
      <c r="AO32" s="84" t="str">
        <f t="shared" si="10"/>
        <v>لا</v>
      </c>
      <c r="AP32" s="85" t="str">
        <f t="shared" si="11"/>
        <v/>
      </c>
      <c r="AQ32" s="84" t="str">
        <f t="shared" si="12"/>
        <v>لا</v>
      </c>
      <c r="AR32" s="85" t="str">
        <f t="shared" si="13"/>
        <v/>
      </c>
      <c r="AS32" s="86" t="str">
        <f t="shared" si="14"/>
        <v>لا</v>
      </c>
      <c r="AT32" s="87" t="str">
        <f t="shared" si="15"/>
        <v/>
      </c>
      <c r="AU32" s="88"/>
      <c r="AV32" s="89"/>
      <c r="AW32" s="90"/>
      <c r="AX32" s="91" cm="1">
        <f t="array" ref="AX32">IFERROR(_xlfn.IFS($AB32="عدد الموظفين/الوحدة",S32*$AA32,$AB32='طريقة الحساب'!$B$2,S32*$AA32/الافتراضات!$B$27,$AB32='طريقة الحساب'!$B$3,S32*$AA32/الافتراضات!$B$26,$AB32='طريقة الحساب'!$B$4,S32*$AA32/الافتراضات!$B$28),"")</f>
        <v>4.8436863247365659E-2</v>
      </c>
      <c r="AY32" s="91" cm="1">
        <f t="array" ref="AY32">IFERROR(_xlfn.IFS($AB32="عدد الموظفين/الوحدة",T32*$AA32,$AB32='طريقة الحساب'!$B$2,T32*$AA32/الافتراضات!$B$27,$AB32='طريقة الحساب'!$B$3,T32*$AA32/الافتراضات!$B$26,$AB32='طريقة الحساب'!$B$4,T32*$AA32/الافتراضات!$B$28),"")</f>
        <v>5.0858706409733952E-2</v>
      </c>
      <c r="AZ32" s="91" cm="1">
        <f t="array" ref="AZ32">IFERROR(_xlfn.IFS($AB32="عدد الموظفين/الوحدة",U32*$AA32,$AB32='طريقة الحساب'!$B$2,U32*$AA32/الافتراضات!$B$27,$AB32='طريقة الحساب'!$B$3,U32*$AA32/الافتراضات!$B$26,$AB32='طريقة الحساب'!$B$4,U32*$AA32/الافتراضات!$B$28),"")</f>
        <v>5.3401641730220654E-2</v>
      </c>
      <c r="BA32" s="91" cm="1">
        <f t="array" ref="BA32">IFERROR(_xlfn.IFS($AB32="عدد الموظفين/الوحدة",V32*$AA32,$AB32='طريقة الحساب'!$B$2,V32*$AA32/الافتراضات!$B$27,$AB32='طريقة الحساب'!$B$3,V32*$AA32/الافتراضات!$B$26,$AB32='طريقة الحساب'!$B$4,V32*$AA32/الافتراضات!$B$28),"")</f>
        <v>5.6071723816731679E-2</v>
      </c>
      <c r="BB32" s="91" cm="1">
        <f t="array" ref="BB32">IFERROR(_xlfn.IFS($AB32="عدد الموظفين/الوحدة",W32*$AA32,$AB32='طريقة الحساب'!$B$2,W32*$AA32/الافتراضات!$B$27,$AB32='طريقة الحساب'!$B$3,W32*$AA32/الافتراضات!$B$26,$AB32='طريقة الحساب'!$B$4,W32*$AA32/الافتراضات!$B$28),"")</f>
        <v>5.8875310007568273E-2</v>
      </c>
      <c r="BC32" s="91" cm="1">
        <f t="array" ref="BC32">IFERROR(_xlfn.IFS($AB32="عدد الموظفين/الوحدة",X32*$AA32,$AB32='طريقة الحساب'!$B$2,X32*$AA32/الافتراضات!$B$27,$AB32='طريقة الحساب'!$B$3,X32*$AA32/الافتراضات!$B$26,$AB32='طريقة الحساب'!$B$4,X32*$AA32/الافتراضات!$B$28),"")</f>
        <v>6.1819075507946686E-2</v>
      </c>
      <c r="BD32" s="91" cm="1">
        <f t="array" ref="BD32">IFERROR(_xlfn.IFS($AB32="عدد الموظفين/الوحدة",Y32*$AA32,$AB32='طريقة الحساب'!$B$2,Y32*$AA32/الافتراضات!$B$27,$AB32='طريقة الحساب'!$B$3,Y32*$AA32/الافتراضات!$B$26,$AB32='طريقة الحساب'!$B$4,Y32*$AA32/الافتراضات!$B$28),"")</f>
        <v>6.1819075507946686E-2</v>
      </c>
      <c r="BE32" s="91" cm="1">
        <f t="array" ref="BE32">IFERROR(_xlfn.IFS($AB32="عدد الموظفين/الوحدة",Z32*$AA32,$AB32='طريقة الحساب'!$B$2,Z32*$AA32/الافتراضات!$B$27,$AB32='طريقة الحساب'!$B$3,Z32*$AA32/الافتراضات!$B$26,$AB32='طريقة الحساب'!$B$4,Z32*$AA32/الافتراضات!$B$28),"")</f>
        <v>0</v>
      </c>
      <c r="BF32" s="92"/>
    </row>
    <row r="33" spans="2:58" x14ac:dyDescent="0.35">
      <c r="B33" s="124" t="s">
        <v>87</v>
      </c>
      <c r="C33" s="131" t="s">
        <v>88</v>
      </c>
      <c r="D33" s="131" t="s">
        <v>90</v>
      </c>
      <c r="E33" s="138" t="s">
        <v>91</v>
      </c>
      <c r="F33" s="125" t="s">
        <v>115</v>
      </c>
      <c r="G33" s="126" t="s">
        <v>84</v>
      </c>
      <c r="H33" s="127"/>
      <c r="I33" s="132">
        <v>60</v>
      </c>
      <c r="J33" s="133">
        <v>63</v>
      </c>
      <c r="K33" s="133">
        <v>66.150000000000006</v>
      </c>
      <c r="L33" s="133">
        <v>69.45750000000001</v>
      </c>
      <c r="M33" s="133">
        <v>72.930375000000012</v>
      </c>
      <c r="N33" s="133">
        <v>76.576893750000011</v>
      </c>
      <c r="O33" s="133">
        <v>76.576893750000011</v>
      </c>
      <c r="P33" s="139">
        <v>30</v>
      </c>
      <c r="Q33" s="134" t="s">
        <v>45</v>
      </c>
      <c r="R33" s="128"/>
      <c r="S33" s="135">
        <v>60</v>
      </c>
      <c r="T33" s="135">
        <v>63</v>
      </c>
      <c r="U33" s="135">
        <v>66.150000000000006</v>
      </c>
      <c r="V33" s="135">
        <v>69.45750000000001</v>
      </c>
      <c r="W33" s="135">
        <v>72.930375000000012</v>
      </c>
      <c r="X33" s="135">
        <v>76.576893750000011</v>
      </c>
      <c r="Y33" s="135">
        <v>76.576893750000011</v>
      </c>
      <c r="Z33" s="79"/>
      <c r="AA33" s="135">
        <v>30</v>
      </c>
      <c r="AB33" s="136" t="s">
        <v>45</v>
      </c>
      <c r="AC33" s="80"/>
      <c r="AD33" s="81"/>
      <c r="AE33" s="82"/>
      <c r="AF33" s="82"/>
      <c r="AG33" s="82"/>
      <c r="AH33" s="82"/>
      <c r="AI33" s="82"/>
      <c r="AJ33" s="82"/>
      <c r="AK33" s="82"/>
      <c r="AL33" s="82"/>
      <c r="AM33" s="83"/>
      <c r="AN33" s="83"/>
      <c r="AO33" s="84" t="str">
        <f t="shared" si="10"/>
        <v>لا</v>
      </c>
      <c r="AP33" s="85" t="str">
        <f t="shared" si="11"/>
        <v/>
      </c>
      <c r="AQ33" s="84" t="str">
        <f t="shared" si="12"/>
        <v>لا</v>
      </c>
      <c r="AR33" s="85" t="str">
        <f t="shared" si="13"/>
        <v/>
      </c>
      <c r="AS33" s="86" t="str">
        <f t="shared" si="14"/>
        <v>لا</v>
      </c>
      <c r="AT33" s="87" t="str">
        <f t="shared" si="15"/>
        <v/>
      </c>
      <c r="AU33" s="88"/>
      <c r="AV33" s="89"/>
      <c r="AW33" s="90"/>
      <c r="AX33" s="91" cm="1">
        <f t="array" ref="AX33">IFERROR(_xlfn.IFS($AB33="عدد الموظفين/الوحدة",S33*$AA33,$AB33='طريقة الحساب'!$B$2,S33*$AA33/الافتراضات!$B$27,$AB33='طريقة الحساب'!$B$3,S33*$AA33/الافتراضات!$B$26,$AB33='طريقة الحساب'!$B$4,S33*$AA33/الافتراضات!$B$28),"")</f>
        <v>3.027303952960354E-2</v>
      </c>
      <c r="AY33" s="91" cm="1">
        <f t="array" ref="AY33">IFERROR(_xlfn.IFS($AB33="عدد الموظفين/الوحدة",T33*$AA33,$AB33='طريقة الحساب'!$B$2,T33*$AA33/الافتراضات!$B$27,$AB33='طريقة الحساب'!$B$3,T33*$AA33/الافتراضات!$B$26,$AB33='طريقة الحساب'!$B$4,T33*$AA33/الافتراضات!$B$28),"")</f>
        <v>3.1786691506083715E-2</v>
      </c>
      <c r="AZ33" s="91" cm="1">
        <f t="array" ref="AZ33">IFERROR(_xlfn.IFS($AB33="عدد الموظفين/الوحدة",U33*$AA33,$AB33='طريقة الحساب'!$B$2,U33*$AA33/الافتراضات!$B$27,$AB33='طريقة الحساب'!$B$3,U33*$AA33/الافتراضات!$B$26,$AB33='طريقة الحساب'!$B$4,U33*$AA33/الافتراضات!$B$28),"")</f>
        <v>3.3376026081387906E-2</v>
      </c>
      <c r="BA33" s="91" cm="1">
        <f t="array" ref="BA33">IFERROR(_xlfn.IFS($AB33="عدد الموظفين/الوحدة",V33*$AA33,$AB33='طريقة الحساب'!$B$2,V33*$AA33/الافتراضات!$B$27,$AB33='طريقة الحساب'!$B$3,V33*$AA33/الافتراضات!$B$26,$AB33='طريقة الحساب'!$B$4,V33*$AA33/الافتراضات!$B$28),"")</f>
        <v>3.5044827385457306E-2</v>
      </c>
      <c r="BB33" s="91" cm="1">
        <f t="array" ref="BB33">IFERROR(_xlfn.IFS($AB33="عدد الموظفين/الوحدة",W33*$AA33,$AB33='طريقة الحساب'!$B$2,W33*$AA33/الافتراضات!$B$27,$AB33='طريقة الحساب'!$B$3,W33*$AA33/الافتراضات!$B$26,$AB33='طريقة الحساب'!$B$4,W33*$AA33/الافتراضات!$B$28),"")</f>
        <v>3.6797068754730169E-2</v>
      </c>
      <c r="BC33" s="91" cm="1">
        <f t="array" ref="BC33">IFERROR(_xlfn.IFS($AB33="عدد الموظفين/الوحدة",X33*$AA33,$AB33='طريقة الحساب'!$B$2,X33*$AA33/الافتراضات!$B$27,$AB33='طريقة الحساب'!$B$3,X33*$AA33/الافتراضات!$B$26,$AB33='طريقة الحساب'!$B$4,X33*$AA33/الافتراضات!$B$28),"")</f>
        <v>3.8636922192466679E-2</v>
      </c>
      <c r="BD33" s="91" cm="1">
        <f t="array" ref="BD33">IFERROR(_xlfn.IFS($AB33="عدد الموظفين/الوحدة",Y33*$AA33,$AB33='طريقة الحساب'!$B$2,Y33*$AA33/الافتراضات!$B$27,$AB33='طريقة الحساب'!$B$3,Y33*$AA33/الافتراضات!$B$26,$AB33='طريقة الحساب'!$B$4,Y33*$AA33/الافتراضات!$B$28),"")</f>
        <v>3.8636922192466679E-2</v>
      </c>
      <c r="BE33" s="91" cm="1">
        <f t="array" ref="BE33">IFERROR(_xlfn.IFS($AB33="عدد الموظفين/الوحدة",Z33*$AA33,$AB33='طريقة الحساب'!$B$2,Z33*$AA33/الافتراضات!$B$27,$AB33='طريقة الحساب'!$B$3,Z33*$AA33/الافتراضات!$B$26,$AB33='طريقة الحساب'!$B$4,Z33*$AA33/الافتراضات!$B$28),"")</f>
        <v>0</v>
      </c>
      <c r="BF33" s="92"/>
    </row>
    <row r="34" spans="2:58" x14ac:dyDescent="0.35">
      <c r="B34" s="124" t="s">
        <v>87</v>
      </c>
      <c r="C34" s="131" t="s">
        <v>88</v>
      </c>
      <c r="D34" s="131" t="s">
        <v>90</v>
      </c>
      <c r="E34" s="138" t="s">
        <v>91</v>
      </c>
      <c r="F34" s="125" t="s">
        <v>116</v>
      </c>
      <c r="G34" s="126" t="s">
        <v>84</v>
      </c>
      <c r="H34" s="127"/>
      <c r="I34" s="132">
        <v>140</v>
      </c>
      <c r="J34" s="133">
        <v>147</v>
      </c>
      <c r="K34" s="133">
        <v>154.35</v>
      </c>
      <c r="L34" s="133">
        <v>162.0675</v>
      </c>
      <c r="M34" s="133">
        <v>170.170875</v>
      </c>
      <c r="N34" s="133">
        <v>178.67941875</v>
      </c>
      <c r="O34" s="133">
        <v>178.67941875</v>
      </c>
      <c r="P34" s="139">
        <v>30</v>
      </c>
      <c r="Q34" s="134" t="s">
        <v>45</v>
      </c>
      <c r="R34" s="128"/>
      <c r="S34" s="135">
        <v>140</v>
      </c>
      <c r="T34" s="135">
        <v>147</v>
      </c>
      <c r="U34" s="135">
        <v>154.35</v>
      </c>
      <c r="V34" s="135">
        <v>162.0675</v>
      </c>
      <c r="W34" s="135">
        <v>170.170875</v>
      </c>
      <c r="X34" s="135">
        <v>178.67941875</v>
      </c>
      <c r="Y34" s="135">
        <v>178.67941875</v>
      </c>
      <c r="Z34" s="79"/>
      <c r="AA34" s="135">
        <v>30</v>
      </c>
      <c r="AB34" s="136" t="s">
        <v>45</v>
      </c>
      <c r="AC34" s="80"/>
      <c r="AD34" s="81"/>
      <c r="AE34" s="82"/>
      <c r="AF34" s="82"/>
      <c r="AG34" s="82"/>
      <c r="AH34" s="82"/>
      <c r="AI34" s="82"/>
      <c r="AJ34" s="82"/>
      <c r="AK34" s="82"/>
      <c r="AL34" s="82"/>
      <c r="AM34" s="83"/>
      <c r="AN34" s="83"/>
      <c r="AO34" s="84" t="str">
        <f t="shared" si="10"/>
        <v>لا</v>
      </c>
      <c r="AP34" s="85" t="str">
        <f t="shared" si="11"/>
        <v/>
      </c>
      <c r="AQ34" s="84" t="str">
        <f t="shared" si="12"/>
        <v>لا</v>
      </c>
      <c r="AR34" s="85" t="str">
        <f t="shared" si="13"/>
        <v/>
      </c>
      <c r="AS34" s="86" t="str">
        <f t="shared" si="14"/>
        <v>لا</v>
      </c>
      <c r="AT34" s="87" t="str">
        <f t="shared" si="15"/>
        <v/>
      </c>
      <c r="AU34" s="88"/>
      <c r="AV34" s="89"/>
      <c r="AW34" s="90"/>
      <c r="AX34" s="91" cm="1">
        <f t="array" ref="AX34">IFERROR(_xlfn.IFS($AB34="عدد الموظفين/الوحدة",S34*$AA34,$AB34='طريقة الحساب'!$B$2,S34*$AA34/الافتراضات!$B$27,$AB34='طريقة الحساب'!$B$3,S34*$AA34/الافتراضات!$B$26,$AB34='طريقة الحساب'!$B$4,S34*$AA34/الافتراضات!$B$28),"")</f>
        <v>7.0637092235741591E-2</v>
      </c>
      <c r="AY34" s="91" cm="1">
        <f t="array" ref="AY34">IFERROR(_xlfn.IFS($AB34="عدد الموظفين/الوحدة",T34*$AA34,$AB34='طريقة الحساب'!$B$2,T34*$AA34/الافتراضات!$B$27,$AB34='طريقة الحساب'!$B$3,T34*$AA34/الافتراضات!$B$26,$AB34='طريقة الحساب'!$B$4,T34*$AA34/الافتراضات!$B$28),"")</f>
        <v>7.4168946847528672E-2</v>
      </c>
      <c r="AZ34" s="91" cm="1">
        <f t="array" ref="AZ34">IFERROR(_xlfn.IFS($AB34="عدد الموظفين/الوحدة",U34*$AA34,$AB34='طريقة الحساب'!$B$2,U34*$AA34/الافتراضات!$B$27,$AB34='طريقة الحساب'!$B$3,U34*$AA34/الافتراضات!$B$26,$AB34='طريقة الحساب'!$B$4,U34*$AA34/الافتراضات!$B$28),"")</f>
        <v>7.7877394189905108E-2</v>
      </c>
      <c r="BA34" s="91" cm="1">
        <f t="array" ref="BA34">IFERROR(_xlfn.IFS($AB34="عدد الموظفين/الوحدة",V34*$AA34,$AB34='طريقة الحساب'!$B$2,V34*$AA34/الافتراضات!$B$27,$AB34='طريقة الحساب'!$B$3,V34*$AA34/الافتراضات!$B$26,$AB34='طريقة الحساب'!$B$4,V34*$AA34/الافتراضات!$B$28),"")</f>
        <v>8.1771263899400357E-2</v>
      </c>
      <c r="BB34" s="91" cm="1">
        <f t="array" ref="BB34">IFERROR(_xlfn.IFS($AB34="عدد الموظفين/الوحدة",W34*$AA34,$AB34='طريقة الحساب'!$B$2,W34*$AA34/الافتراضات!$B$27,$AB34='طريقة الحساب'!$B$3,W34*$AA34/الافتراضات!$B$26,$AB34='طريقة الحساب'!$B$4,W34*$AA34/الافتراضات!$B$28),"")</f>
        <v>8.5859827094370386E-2</v>
      </c>
      <c r="BC34" s="91" cm="1">
        <f t="array" ref="BC34">IFERROR(_xlfn.IFS($AB34="عدد الموظفين/الوحدة",X34*$AA34,$AB34='طريقة الحساب'!$B$2,X34*$AA34/الافتراضات!$B$27,$AB34='طريقة الحساب'!$B$3,X34*$AA34/الافتراضات!$B$26,$AB34='طريقة الحساب'!$B$4,X34*$AA34/الافتراضات!$B$28),"")</f>
        <v>9.0152818449088901E-2</v>
      </c>
      <c r="BD34" s="91" cm="1">
        <f t="array" ref="BD34">IFERROR(_xlfn.IFS($AB34="عدد الموظفين/الوحدة",Y34*$AA34,$AB34='طريقة الحساب'!$B$2,Y34*$AA34/الافتراضات!$B$27,$AB34='طريقة الحساب'!$B$3,Y34*$AA34/الافتراضات!$B$26,$AB34='طريقة الحساب'!$B$4,Y34*$AA34/الافتراضات!$B$28),"")</f>
        <v>9.0152818449088901E-2</v>
      </c>
      <c r="BE34" s="91" cm="1">
        <f t="array" ref="BE34">IFERROR(_xlfn.IFS($AB34="عدد الموظفين/الوحدة",Z34*$AA34,$AB34='طريقة الحساب'!$B$2,Z34*$AA34/الافتراضات!$B$27,$AB34='طريقة الحساب'!$B$3,Z34*$AA34/الافتراضات!$B$26,$AB34='طريقة الحساب'!$B$4,Z34*$AA34/الافتراضات!$B$28),"")</f>
        <v>0</v>
      </c>
      <c r="BF34" s="92"/>
    </row>
    <row r="35" spans="2:58" x14ac:dyDescent="0.35">
      <c r="B35" s="124" t="s">
        <v>87</v>
      </c>
      <c r="C35" s="131" t="s">
        <v>88</v>
      </c>
      <c r="D35" s="131" t="s">
        <v>90</v>
      </c>
      <c r="E35" s="138" t="s">
        <v>91</v>
      </c>
      <c r="F35" s="125" t="s">
        <v>117</v>
      </c>
      <c r="G35" s="126" t="s">
        <v>84</v>
      </c>
      <c r="H35" s="127"/>
      <c r="I35" s="132">
        <v>2788.7999999999997</v>
      </c>
      <c r="J35" s="133">
        <v>2490.3384500999991</v>
      </c>
      <c r="K35" s="133">
        <v>2262.0004222478638</v>
      </c>
      <c r="L35" s="133">
        <v>2086.1810514327231</v>
      </c>
      <c r="M35" s="133">
        <v>1912.2015320397484</v>
      </c>
      <c r="N35" s="133">
        <v>1661.9326985262471</v>
      </c>
      <c r="O35" s="133">
        <v>1661.9326985262471</v>
      </c>
      <c r="P35" s="139">
        <v>30</v>
      </c>
      <c r="Q35" s="134" t="s">
        <v>45</v>
      </c>
      <c r="R35" s="128"/>
      <c r="S35" s="135">
        <v>2788.7999999999997</v>
      </c>
      <c r="T35" s="135">
        <v>2490.3384500999991</v>
      </c>
      <c r="U35" s="135">
        <v>2262.0004222478638</v>
      </c>
      <c r="V35" s="135">
        <v>2086.1810514327231</v>
      </c>
      <c r="W35" s="135">
        <v>1912.2015320397484</v>
      </c>
      <c r="X35" s="135">
        <v>1661.9326985262471</v>
      </c>
      <c r="Y35" s="135">
        <v>1661.9326985262471</v>
      </c>
      <c r="Z35" s="79"/>
      <c r="AA35" s="135">
        <v>30</v>
      </c>
      <c r="AB35" s="136" t="s">
        <v>45</v>
      </c>
      <c r="AC35" s="80"/>
      <c r="AD35" s="81"/>
      <c r="AE35" s="82"/>
      <c r="AF35" s="82"/>
      <c r="AG35" s="82"/>
      <c r="AH35" s="82"/>
      <c r="AI35" s="82"/>
      <c r="AJ35" s="82"/>
      <c r="AK35" s="82"/>
      <c r="AL35" s="82"/>
      <c r="AM35" s="83"/>
      <c r="AN35" s="83"/>
      <c r="AO35" s="84" t="str">
        <f t="shared" si="10"/>
        <v>لا</v>
      </c>
      <c r="AP35" s="85" t="str">
        <f t="shared" si="11"/>
        <v/>
      </c>
      <c r="AQ35" s="84" t="str">
        <f t="shared" si="12"/>
        <v>لا</v>
      </c>
      <c r="AR35" s="85" t="str">
        <f t="shared" si="13"/>
        <v/>
      </c>
      <c r="AS35" s="86" t="str">
        <f t="shared" si="14"/>
        <v>لا</v>
      </c>
      <c r="AT35" s="87" t="str">
        <f t="shared" si="15"/>
        <v/>
      </c>
      <c r="AU35" s="88"/>
      <c r="AV35" s="89"/>
      <c r="AW35" s="90"/>
      <c r="AX35" s="91" cm="1">
        <f t="array" ref="AX35">IFERROR(_xlfn.IFS($AB35="عدد الموظفين/الوحدة",S35*$AA35,$AB35='طريقة الحساب'!$B$2,S35*$AA35/الافتراضات!$B$27,$AB35='طريقة الحساب'!$B$3,S35*$AA35/الافتراضات!$B$26,$AB35='طريقة الحساب'!$B$4,S35*$AA35/الافتراضات!$B$28),"")</f>
        <v>1.4070908773359723</v>
      </c>
      <c r="AY35" s="91" cm="1">
        <f t="array" ref="AY35">IFERROR(_xlfn.IFS($AB35="عدد الموظفين/الوحدة",T35*$AA35,$AB35='طريقة الحساب'!$B$2,T35*$AA35/الافتراضات!$B$27,$AB35='طريقة الحساب'!$B$3,T35*$AA35/الافتراضات!$B$26,$AB35='طريقة الحساب'!$B$4,T35*$AA35/الافتراضات!$B$28),"")</f>
        <v>1.2565019056994815</v>
      </c>
      <c r="AZ35" s="91" cm="1">
        <f t="array" ref="AZ35">IFERROR(_xlfn.IFS($AB35="عدد الموظفين/الوحدة",U35*$AA35,$AB35='طريقة الحساب'!$B$2,U35*$AA35/الافتراضات!$B$27,$AB35='طريقة الحساب'!$B$3,U35*$AA35/الافتراضات!$B$26,$AB35='طريقة الحساب'!$B$4,U35*$AA35/الافتراضات!$B$28),"")</f>
        <v>1.1412938033114914</v>
      </c>
      <c r="BA35" s="91" cm="1">
        <f t="array" ref="BA35">IFERROR(_xlfn.IFS($AB35="عدد الموظفين/الوحدة",V35*$AA35,$AB35='طريقة الحساب'!$B$2,V35*$AA35/الافتراضات!$B$27,$AB35='طريقة الحساب'!$B$3,V35*$AA35/الافتراضات!$B$26,$AB35='طريقة الحساب'!$B$4,V35*$AA35/الافتراضات!$B$28),"")</f>
        <v>1.0525840239322117</v>
      </c>
      <c r="BB35" s="91" cm="1">
        <f t="array" ref="BB35">IFERROR(_xlfn.IFS($AB35="عدد الموظفين/الوحدة",W35*$AA35,$AB35='طريقة الحساب'!$B$2,W35*$AA35/الافتراضات!$B$27,$AB35='طريقة الحساب'!$B$3,W35*$AA35/الافتراضات!$B$26,$AB35='طريقة الحساب'!$B$4,W35*$AA35/الافتراضات!$B$28),"")</f>
        <v>0.96480254280012923</v>
      </c>
      <c r="BC35" s="91" cm="1">
        <f t="array" ref="BC35">IFERROR(_xlfn.IFS($AB35="عدد الموظفين/الوحدة",X35*$AA35,$AB35='طريقة الحساب'!$B$2,X35*$AA35/الافتراضات!$B$27,$AB35='طريقة الحساب'!$B$3,X35*$AA35/الافتراضات!$B$26,$AB35='طريقة الحساب'!$B$4,X35*$AA35/الافتراضات!$B$28),"")</f>
        <v>0.83852923796709589</v>
      </c>
      <c r="BD35" s="91" cm="1">
        <f t="array" ref="BD35">IFERROR(_xlfn.IFS($AB35="عدد الموظفين/الوحدة",Y35*$AA35,$AB35='طريقة الحساب'!$B$2,Y35*$AA35/الافتراضات!$B$27,$AB35='طريقة الحساب'!$B$3,Y35*$AA35/الافتراضات!$B$26,$AB35='طريقة الحساب'!$B$4,Y35*$AA35/الافتراضات!$B$28),"")</f>
        <v>0.83852923796709589</v>
      </c>
      <c r="BE35" s="91" cm="1">
        <f t="array" ref="BE35">IFERROR(_xlfn.IFS($AB35="عدد الموظفين/الوحدة",Z35*$AA35,$AB35='طريقة الحساب'!$B$2,Z35*$AA35/الافتراضات!$B$27,$AB35='طريقة الحساب'!$B$3,Z35*$AA35/الافتراضات!$B$26,$AB35='طريقة الحساب'!$B$4,Z35*$AA35/الافتراضات!$B$28),"")</f>
        <v>0</v>
      </c>
      <c r="BF35" s="92"/>
    </row>
    <row r="36" spans="2:58" x14ac:dyDescent="0.35">
      <c r="B36" s="124" t="s">
        <v>87</v>
      </c>
      <c r="C36" s="131" t="s">
        <v>88</v>
      </c>
      <c r="D36" s="131" t="s">
        <v>90</v>
      </c>
      <c r="E36" s="138" t="s">
        <v>91</v>
      </c>
      <c r="F36" s="125" t="s">
        <v>118</v>
      </c>
      <c r="G36" s="126" t="s">
        <v>84</v>
      </c>
      <c r="H36" s="127"/>
      <c r="I36" s="132">
        <v>340000</v>
      </c>
      <c r="J36" s="133">
        <v>370000</v>
      </c>
      <c r="K36" s="133">
        <v>390000</v>
      </c>
      <c r="L36" s="133">
        <v>420000</v>
      </c>
      <c r="M36" s="133">
        <v>440000</v>
      </c>
      <c r="N36" s="133">
        <v>460000</v>
      </c>
      <c r="O36" s="133">
        <v>460000</v>
      </c>
      <c r="P36" s="139">
        <v>5</v>
      </c>
      <c r="Q36" s="134" t="s">
        <v>45</v>
      </c>
      <c r="R36" s="128"/>
      <c r="S36" s="135">
        <v>340000</v>
      </c>
      <c r="T36" s="135">
        <v>370000</v>
      </c>
      <c r="U36" s="135">
        <v>390000</v>
      </c>
      <c r="V36" s="135">
        <v>420000</v>
      </c>
      <c r="W36" s="135">
        <v>440000</v>
      </c>
      <c r="X36" s="135">
        <v>460000</v>
      </c>
      <c r="Y36" s="135">
        <v>460000</v>
      </c>
      <c r="Z36" s="79"/>
      <c r="AA36" s="135">
        <v>5</v>
      </c>
      <c r="AB36" s="136" t="s">
        <v>45</v>
      </c>
      <c r="AC36" s="80"/>
      <c r="AD36" s="81"/>
      <c r="AE36" s="82"/>
      <c r="AF36" s="82"/>
      <c r="AG36" s="82"/>
      <c r="AH36" s="82"/>
      <c r="AI36" s="82"/>
      <c r="AJ36" s="82"/>
      <c r="AK36" s="82"/>
      <c r="AL36" s="82"/>
      <c r="AM36" s="83"/>
      <c r="AN36" s="83"/>
      <c r="AO36" s="84" t="str">
        <f t="shared" si="10"/>
        <v>لا</v>
      </c>
      <c r="AP36" s="85" t="str">
        <f t="shared" si="11"/>
        <v/>
      </c>
      <c r="AQ36" s="84" t="str">
        <f t="shared" si="12"/>
        <v>لا</v>
      </c>
      <c r="AR36" s="85" t="str">
        <f t="shared" si="13"/>
        <v/>
      </c>
      <c r="AS36" s="86" t="str">
        <f t="shared" si="14"/>
        <v>لا</v>
      </c>
      <c r="AT36" s="87" t="str">
        <f t="shared" si="15"/>
        <v/>
      </c>
      <c r="AU36" s="88"/>
      <c r="AV36" s="89"/>
      <c r="AW36" s="90"/>
      <c r="AX36" s="91" cm="1">
        <f t="array" ref="AX36">IFERROR(_xlfn.IFS($AB36="عدد الموظفين/الوحدة",S36*$AA36,$AB36='طريقة الحساب'!$B$2,S36*$AA36/الافتراضات!$B$27,$AB36='طريقة الحساب'!$B$3,S36*$AA36/الافتراضات!$B$26,$AB36='طريقة الحساب'!$B$4,S36*$AA36/الافتراضات!$B$28),"")</f>
        <v>28.591204000181119</v>
      </c>
      <c r="AY36" s="91" cm="1">
        <f t="array" ref="AY36">IFERROR(_xlfn.IFS($AB36="عدد الموظفين/الوحدة",T36*$AA36,$AB36='طريقة الحساب'!$B$2,T36*$AA36/الافتراضات!$B$27,$AB36='طريقة الحساب'!$B$3,T36*$AA36/الافتراضات!$B$26,$AB36='طريقة الحساب'!$B$4,T36*$AA36/الافتراضات!$B$28),"")</f>
        <v>31.113957294314748</v>
      </c>
      <c r="AZ36" s="91" cm="1">
        <f t="array" ref="AZ36">IFERROR(_xlfn.IFS($AB36="عدد الموظفين/الوحدة",U36*$AA36,$AB36='طريقة الحساب'!$B$2,U36*$AA36/الافتراضات!$B$27,$AB36='طريقة الحساب'!$B$3,U36*$AA36/الافتراضات!$B$26,$AB36='طريقة الحساب'!$B$4,U36*$AA36/الافتراضات!$B$28),"")</f>
        <v>32.795792823737166</v>
      </c>
      <c r="BA36" s="91" cm="1">
        <f t="array" ref="BA36">IFERROR(_xlfn.IFS($AB36="عدد الموظفين/الوحدة",V36*$AA36,$AB36='طريقة الحساب'!$B$2,V36*$AA36/الافتراضات!$B$27,$AB36='طريقة الحساب'!$B$3,V36*$AA36/الافتراضات!$B$26,$AB36='طريقة الحساب'!$B$4,V36*$AA36/الافتراضات!$B$28),"")</f>
        <v>35.318546117870795</v>
      </c>
      <c r="BB36" s="91" cm="1">
        <f t="array" ref="BB36">IFERROR(_xlfn.IFS($AB36="عدد الموظفين/الوحدة",W36*$AA36,$AB36='طريقة الحساب'!$B$2,W36*$AA36/الافتراضات!$B$27,$AB36='طريقة الحساب'!$B$3,W36*$AA36/الافتراضات!$B$26,$AB36='طريقة الحساب'!$B$4,W36*$AA36/الافتراضات!$B$28),"")</f>
        <v>37.000381647293217</v>
      </c>
      <c r="BC36" s="91" cm="1">
        <f t="array" ref="BC36">IFERROR(_xlfn.IFS($AB36="عدد الموظفين/الوحدة",X36*$AA36,$AB36='طريقة الحساب'!$B$2,X36*$AA36/الافتراضات!$B$27,$AB36='طريقة الحساب'!$B$3,X36*$AA36/الافتراضات!$B$26,$AB36='طريقة الحساب'!$B$4,X36*$AA36/الافتراضات!$B$28),"")</f>
        <v>38.682217176715632</v>
      </c>
      <c r="BD36" s="91" cm="1">
        <f t="array" ref="BD36">IFERROR(_xlfn.IFS($AB36="عدد الموظفين/الوحدة",Y36*$AA36,$AB36='طريقة الحساب'!$B$2,Y36*$AA36/الافتراضات!$B$27,$AB36='طريقة الحساب'!$B$3,Y36*$AA36/الافتراضات!$B$26,$AB36='طريقة الحساب'!$B$4,Y36*$AA36/الافتراضات!$B$28),"")</f>
        <v>38.682217176715632</v>
      </c>
      <c r="BE36" s="91" cm="1">
        <f t="array" ref="BE36">IFERROR(_xlfn.IFS($AB36="عدد الموظفين/الوحدة",Z36*$AA36,$AB36='طريقة الحساب'!$B$2,Z36*$AA36/الافتراضات!$B$27,$AB36='طريقة الحساب'!$B$3,Z36*$AA36/الافتراضات!$B$26,$AB36='طريقة الحساب'!$B$4,Z36*$AA36/الافتراضات!$B$28),"")</f>
        <v>0</v>
      </c>
      <c r="BF36" s="92"/>
    </row>
    <row r="37" spans="2:58" x14ac:dyDescent="0.35">
      <c r="B37" s="124" t="s">
        <v>87</v>
      </c>
      <c r="C37" s="131" t="s">
        <v>88</v>
      </c>
      <c r="D37" s="131" t="s">
        <v>90</v>
      </c>
      <c r="E37" s="138" t="s">
        <v>91</v>
      </c>
      <c r="F37" s="125" t="s">
        <v>119</v>
      </c>
      <c r="G37" s="126" t="s">
        <v>84</v>
      </c>
      <c r="H37" s="127"/>
      <c r="I37" s="132">
        <v>240</v>
      </c>
      <c r="J37" s="133">
        <v>260</v>
      </c>
      <c r="K37" s="133">
        <v>290</v>
      </c>
      <c r="L37" s="133">
        <v>310</v>
      </c>
      <c r="M37" s="133">
        <v>330</v>
      </c>
      <c r="N37" s="133">
        <v>350</v>
      </c>
      <c r="O37" s="133">
        <v>350</v>
      </c>
      <c r="P37" s="139">
        <v>1</v>
      </c>
      <c r="Q37" s="134" t="s">
        <v>32</v>
      </c>
      <c r="R37" s="128"/>
      <c r="S37" s="135">
        <v>240</v>
      </c>
      <c r="T37" s="135">
        <v>260</v>
      </c>
      <c r="U37" s="135">
        <v>290</v>
      </c>
      <c r="V37" s="135">
        <v>310</v>
      </c>
      <c r="W37" s="135">
        <v>330</v>
      </c>
      <c r="X37" s="135">
        <v>350</v>
      </c>
      <c r="Y37" s="135">
        <v>350</v>
      </c>
      <c r="Z37" s="79"/>
      <c r="AA37" s="135">
        <v>1</v>
      </c>
      <c r="AB37" s="136" t="s">
        <v>32</v>
      </c>
      <c r="AC37" s="80"/>
      <c r="AD37" s="81"/>
      <c r="AE37" s="82"/>
      <c r="AF37" s="82"/>
      <c r="AG37" s="82"/>
      <c r="AH37" s="82"/>
      <c r="AI37" s="82"/>
      <c r="AJ37" s="82"/>
      <c r="AK37" s="82"/>
      <c r="AL37" s="82"/>
      <c r="AM37" s="83"/>
      <c r="AN37" s="83"/>
      <c r="AO37" s="84" t="str">
        <f t="shared" si="10"/>
        <v>لا</v>
      </c>
      <c r="AP37" s="85" t="str">
        <f t="shared" si="11"/>
        <v/>
      </c>
      <c r="AQ37" s="84" t="str">
        <f t="shared" si="12"/>
        <v>لا</v>
      </c>
      <c r="AR37" s="85" t="str">
        <f t="shared" si="13"/>
        <v/>
      </c>
      <c r="AS37" s="86" t="str">
        <f t="shared" si="14"/>
        <v>لا</v>
      </c>
      <c r="AT37" s="87" t="str">
        <f t="shared" si="15"/>
        <v/>
      </c>
      <c r="AU37" s="88"/>
      <c r="AV37" s="89"/>
      <c r="AW37" s="90"/>
      <c r="AX37" s="91" cm="1">
        <f t="array" ref="AX37">IFERROR(_xlfn.IFS($AB37="عدد الموظفين/الوحدة",S37*$AA37,$AB37='طريقة الحساب'!$B$2,S37*$AA37/الافتراضات!$B$27,$AB37='طريقة الحساب'!$B$3,S37*$AA37/الافتراضات!$B$26,$AB37='طريقة الحساب'!$B$4,S37*$AA37/الافتراضات!$B$28),"")</f>
        <v>0.24218431623682832</v>
      </c>
      <c r="AY37" s="91" cm="1">
        <f t="array" ref="AY37">IFERROR(_xlfn.IFS($AB37="عدد الموظفين/الوحدة",T37*$AA37,$AB37='طريقة الحساب'!$B$2,T37*$AA37/الافتراضات!$B$27,$AB37='طريقة الحساب'!$B$3,T37*$AA37/الافتراضات!$B$26,$AB37='طريقة الحساب'!$B$4,T37*$AA37/الافتراضات!$B$28),"")</f>
        <v>0.26236634258989733</v>
      </c>
      <c r="AZ37" s="91" cm="1">
        <f t="array" ref="AZ37">IFERROR(_xlfn.IFS($AB37="عدد الموظفين/الوحدة",U37*$AA37,$AB37='طريقة الحساب'!$B$2,U37*$AA37/الافتراضات!$B$27,$AB37='طريقة الحساب'!$B$3,U37*$AA37/الافتراضات!$B$26,$AB37='طريقة الحساب'!$B$4,U37*$AA37/الافتراضات!$B$28),"")</f>
        <v>0.29263938211950086</v>
      </c>
      <c r="BA37" s="91" cm="1">
        <f t="array" ref="BA37">IFERROR(_xlfn.IFS($AB37="عدد الموظفين/الوحدة",V37*$AA37,$AB37='طريقة الحساب'!$B$2,V37*$AA37/الافتراضات!$B$27,$AB37='طريقة الحساب'!$B$3,V37*$AA37/الافتراضات!$B$26,$AB37='طريقة الحساب'!$B$4,V37*$AA37/الافتراضات!$B$28),"")</f>
        <v>0.3128214084725699</v>
      </c>
      <c r="BB37" s="91" cm="1">
        <f t="array" ref="BB37">IFERROR(_xlfn.IFS($AB37="عدد الموظفين/الوحدة",W37*$AA37,$AB37='طريقة الحساب'!$B$2,W37*$AA37/الافتراضات!$B$27,$AB37='طريقة الحساب'!$B$3,W37*$AA37/الافتراضات!$B$26,$AB37='طريقة الحساب'!$B$4,W37*$AA37/الافتراضات!$B$28),"")</f>
        <v>0.33300343482563893</v>
      </c>
      <c r="BC37" s="91" cm="1">
        <f t="array" ref="BC37">IFERROR(_xlfn.IFS($AB37="عدد الموظفين/الوحدة",X37*$AA37,$AB37='طريقة الحساب'!$B$2,X37*$AA37/الافتراضات!$B$27,$AB37='طريقة الحساب'!$B$3,X37*$AA37/الافتراضات!$B$26,$AB37='طريقة الحساب'!$B$4,X37*$AA37/الافتراضات!$B$28),"")</f>
        <v>0.35318546117870797</v>
      </c>
      <c r="BD37" s="91" cm="1">
        <f t="array" ref="BD37">IFERROR(_xlfn.IFS($AB37="عدد الموظفين/الوحدة",Y37*$AA37,$AB37='طريقة الحساب'!$B$2,Y37*$AA37/الافتراضات!$B$27,$AB37='طريقة الحساب'!$B$3,Y37*$AA37/الافتراضات!$B$26,$AB37='طريقة الحساب'!$B$4,Y37*$AA37/الافتراضات!$B$28),"")</f>
        <v>0.35318546117870797</v>
      </c>
      <c r="BE37" s="91" cm="1">
        <f t="array" ref="BE37">IFERROR(_xlfn.IFS($AB37="عدد الموظفين/الوحدة",Z37*$AA37,$AB37='طريقة الحساب'!$B$2,Z37*$AA37/الافتراضات!$B$27,$AB37='طريقة الحساب'!$B$3,Z37*$AA37/الافتراضات!$B$26,$AB37='طريقة الحساب'!$B$4,Z37*$AA37/الافتراضات!$B$28),"")</f>
        <v>0</v>
      </c>
      <c r="BF37" s="92"/>
    </row>
    <row r="38" spans="2:58" x14ac:dyDescent="0.35">
      <c r="B38" s="124" t="s">
        <v>87</v>
      </c>
      <c r="C38" s="131" t="s">
        <v>88</v>
      </c>
      <c r="D38" s="131" t="s">
        <v>90</v>
      </c>
      <c r="E38" s="138" t="s">
        <v>91</v>
      </c>
      <c r="F38" s="125" t="s">
        <v>120</v>
      </c>
      <c r="G38" s="126" t="s">
        <v>84</v>
      </c>
      <c r="H38" s="127"/>
      <c r="I38" s="132">
        <v>240</v>
      </c>
      <c r="J38" s="133">
        <v>260</v>
      </c>
      <c r="K38" s="133">
        <v>290</v>
      </c>
      <c r="L38" s="133">
        <v>310</v>
      </c>
      <c r="M38" s="133">
        <v>330</v>
      </c>
      <c r="N38" s="133">
        <v>350</v>
      </c>
      <c r="O38" s="133">
        <v>350</v>
      </c>
      <c r="P38" s="139">
        <v>1</v>
      </c>
      <c r="Q38" s="134" t="s">
        <v>32</v>
      </c>
      <c r="R38" s="128"/>
      <c r="S38" s="135">
        <v>240</v>
      </c>
      <c r="T38" s="135">
        <v>260</v>
      </c>
      <c r="U38" s="135">
        <v>290</v>
      </c>
      <c r="V38" s="135">
        <v>310</v>
      </c>
      <c r="W38" s="135">
        <v>330</v>
      </c>
      <c r="X38" s="135">
        <v>350</v>
      </c>
      <c r="Y38" s="135">
        <v>350</v>
      </c>
      <c r="Z38" s="79"/>
      <c r="AA38" s="135">
        <v>1</v>
      </c>
      <c r="AB38" s="136" t="s">
        <v>32</v>
      </c>
      <c r="AC38" s="80"/>
      <c r="AD38" s="81"/>
      <c r="AE38" s="82"/>
      <c r="AF38" s="82"/>
      <c r="AG38" s="82"/>
      <c r="AH38" s="82"/>
      <c r="AI38" s="82"/>
      <c r="AJ38" s="82"/>
      <c r="AK38" s="82"/>
      <c r="AL38" s="82"/>
      <c r="AM38" s="83"/>
      <c r="AN38" s="83"/>
      <c r="AO38" s="84" t="str">
        <f t="shared" si="10"/>
        <v>لا</v>
      </c>
      <c r="AP38" s="85" t="str">
        <f t="shared" si="11"/>
        <v/>
      </c>
      <c r="AQ38" s="84" t="str">
        <f t="shared" si="12"/>
        <v>لا</v>
      </c>
      <c r="AR38" s="85" t="str">
        <f t="shared" si="13"/>
        <v/>
      </c>
      <c r="AS38" s="86" t="str">
        <f t="shared" si="14"/>
        <v>لا</v>
      </c>
      <c r="AT38" s="87" t="str">
        <f t="shared" si="15"/>
        <v/>
      </c>
      <c r="AU38" s="88"/>
      <c r="AV38" s="89"/>
      <c r="AW38" s="90"/>
      <c r="AX38" s="91" cm="1">
        <f t="array" ref="AX38">IFERROR(_xlfn.IFS($AB38="عدد الموظفين/الوحدة",S38*$AA38,$AB38='طريقة الحساب'!$B$2,S38*$AA38/الافتراضات!$B$27,$AB38='طريقة الحساب'!$B$3,S38*$AA38/الافتراضات!$B$26,$AB38='طريقة الحساب'!$B$4,S38*$AA38/الافتراضات!$B$28),"")</f>
        <v>0.24218431623682832</v>
      </c>
      <c r="AY38" s="91" cm="1">
        <f t="array" ref="AY38">IFERROR(_xlfn.IFS($AB38="عدد الموظفين/الوحدة",T38*$AA38,$AB38='طريقة الحساب'!$B$2,T38*$AA38/الافتراضات!$B$27,$AB38='طريقة الحساب'!$B$3,T38*$AA38/الافتراضات!$B$26,$AB38='طريقة الحساب'!$B$4,T38*$AA38/الافتراضات!$B$28),"")</f>
        <v>0.26236634258989733</v>
      </c>
      <c r="AZ38" s="91" cm="1">
        <f t="array" ref="AZ38">IFERROR(_xlfn.IFS($AB38="عدد الموظفين/الوحدة",U38*$AA38,$AB38='طريقة الحساب'!$B$2,U38*$AA38/الافتراضات!$B$27,$AB38='طريقة الحساب'!$B$3,U38*$AA38/الافتراضات!$B$26,$AB38='طريقة الحساب'!$B$4,U38*$AA38/الافتراضات!$B$28),"")</f>
        <v>0.29263938211950086</v>
      </c>
      <c r="BA38" s="91" cm="1">
        <f t="array" ref="BA38">IFERROR(_xlfn.IFS($AB38="عدد الموظفين/الوحدة",V38*$AA38,$AB38='طريقة الحساب'!$B$2,V38*$AA38/الافتراضات!$B$27,$AB38='طريقة الحساب'!$B$3,V38*$AA38/الافتراضات!$B$26,$AB38='طريقة الحساب'!$B$4,V38*$AA38/الافتراضات!$B$28),"")</f>
        <v>0.3128214084725699</v>
      </c>
      <c r="BB38" s="91" cm="1">
        <f t="array" ref="BB38">IFERROR(_xlfn.IFS($AB38="عدد الموظفين/الوحدة",W38*$AA38,$AB38='طريقة الحساب'!$B$2,W38*$AA38/الافتراضات!$B$27,$AB38='طريقة الحساب'!$B$3,W38*$AA38/الافتراضات!$B$26,$AB38='طريقة الحساب'!$B$4,W38*$AA38/الافتراضات!$B$28),"")</f>
        <v>0.33300343482563893</v>
      </c>
      <c r="BC38" s="91" cm="1">
        <f t="array" ref="BC38">IFERROR(_xlfn.IFS($AB38="عدد الموظفين/الوحدة",X38*$AA38,$AB38='طريقة الحساب'!$B$2,X38*$AA38/الافتراضات!$B$27,$AB38='طريقة الحساب'!$B$3,X38*$AA38/الافتراضات!$B$26,$AB38='طريقة الحساب'!$B$4,X38*$AA38/الافتراضات!$B$28),"")</f>
        <v>0.35318546117870797</v>
      </c>
      <c r="BD38" s="91" cm="1">
        <f t="array" ref="BD38">IFERROR(_xlfn.IFS($AB38="عدد الموظفين/الوحدة",Y38*$AA38,$AB38='طريقة الحساب'!$B$2,Y38*$AA38/الافتراضات!$B$27,$AB38='طريقة الحساب'!$B$3,Y38*$AA38/الافتراضات!$B$26,$AB38='طريقة الحساب'!$B$4,Y38*$AA38/الافتراضات!$B$28),"")</f>
        <v>0.35318546117870797</v>
      </c>
      <c r="BE38" s="91" cm="1">
        <f t="array" ref="BE38">IFERROR(_xlfn.IFS($AB38="عدد الموظفين/الوحدة",Z38*$AA38,$AB38='طريقة الحساب'!$B$2,Z38*$AA38/الافتراضات!$B$27,$AB38='طريقة الحساب'!$B$3,Z38*$AA38/الافتراضات!$B$26,$AB38='طريقة الحساب'!$B$4,Z38*$AA38/الافتراضات!$B$28),"")</f>
        <v>0</v>
      </c>
      <c r="BF38" s="92"/>
    </row>
    <row r="39" spans="2:58" x14ac:dyDescent="0.35">
      <c r="B39" s="124" t="s">
        <v>87</v>
      </c>
      <c r="C39" s="131" t="s">
        <v>88</v>
      </c>
      <c r="D39" s="131" t="s">
        <v>90</v>
      </c>
      <c r="E39" s="138" t="s">
        <v>91</v>
      </c>
      <c r="F39" s="125" t="s">
        <v>121</v>
      </c>
      <c r="G39" s="126" t="s">
        <v>84</v>
      </c>
      <c r="H39" s="127"/>
      <c r="I39" s="132">
        <v>48</v>
      </c>
      <c r="J39" s="133">
        <v>55</v>
      </c>
      <c r="K39" s="133">
        <v>60</v>
      </c>
      <c r="L39" s="133">
        <v>65</v>
      </c>
      <c r="M39" s="133">
        <v>70</v>
      </c>
      <c r="N39" s="133">
        <v>75</v>
      </c>
      <c r="O39" s="133">
        <v>75</v>
      </c>
      <c r="P39" s="139">
        <v>1</v>
      </c>
      <c r="Q39" s="134" t="s">
        <v>32</v>
      </c>
      <c r="R39" s="128"/>
      <c r="S39" s="135">
        <v>48</v>
      </c>
      <c r="T39" s="135">
        <v>55</v>
      </c>
      <c r="U39" s="135">
        <v>60</v>
      </c>
      <c r="V39" s="135">
        <v>65</v>
      </c>
      <c r="W39" s="135">
        <v>70</v>
      </c>
      <c r="X39" s="135">
        <v>75</v>
      </c>
      <c r="Y39" s="135">
        <v>75</v>
      </c>
      <c r="Z39" s="79"/>
      <c r="AA39" s="135">
        <v>1</v>
      </c>
      <c r="AB39" s="136" t="s">
        <v>32</v>
      </c>
      <c r="AC39" s="80"/>
      <c r="AD39" s="81"/>
      <c r="AE39" s="82"/>
      <c r="AF39" s="82"/>
      <c r="AG39" s="82"/>
      <c r="AH39" s="82"/>
      <c r="AI39" s="82"/>
      <c r="AJ39" s="82"/>
      <c r="AK39" s="82"/>
      <c r="AL39" s="82"/>
      <c r="AM39" s="83"/>
      <c r="AN39" s="83"/>
      <c r="AO39" s="84" t="str">
        <f t="shared" si="10"/>
        <v>لا</v>
      </c>
      <c r="AP39" s="85" t="str">
        <f t="shared" si="11"/>
        <v/>
      </c>
      <c r="AQ39" s="84" t="str">
        <f t="shared" si="12"/>
        <v>لا</v>
      </c>
      <c r="AR39" s="85" t="str">
        <f t="shared" si="13"/>
        <v/>
      </c>
      <c r="AS39" s="86" t="str">
        <f t="shared" si="14"/>
        <v>لا</v>
      </c>
      <c r="AT39" s="87" t="str">
        <f t="shared" si="15"/>
        <v/>
      </c>
      <c r="AU39" s="88"/>
      <c r="AV39" s="89"/>
      <c r="AW39" s="90"/>
      <c r="AX39" s="91" cm="1">
        <f t="array" ref="AX39">IFERROR(_xlfn.IFS($AB39="عدد الموظفين/الوحدة",S39*$AA39,$AB39='طريقة الحساب'!$B$2,S39*$AA39/الافتراضات!$B$27,$AB39='طريقة الحساب'!$B$3,S39*$AA39/الافتراضات!$B$26,$AB39='طريقة الحساب'!$B$4,S39*$AA39/الافتراضات!$B$28),"")</f>
        <v>4.8436863247365659E-2</v>
      </c>
      <c r="AY39" s="91" cm="1">
        <f t="array" ref="AY39">IFERROR(_xlfn.IFS($AB39="عدد الموظفين/الوحدة",T39*$AA39,$AB39='طريقة الحساب'!$B$2,T39*$AA39/الافتراضات!$B$27,$AB39='طريقة الحساب'!$B$3,T39*$AA39/الافتراضات!$B$26,$AB39='طريقة الحساب'!$B$4,T39*$AA39/الافتراضات!$B$28),"")</f>
        <v>5.550057247093982E-2</v>
      </c>
      <c r="AZ39" s="91" cm="1">
        <f t="array" ref="AZ39">IFERROR(_xlfn.IFS($AB39="عدد الموظفين/الوحدة",U39*$AA39,$AB39='طريقة الحساب'!$B$2,U39*$AA39/الافتراضات!$B$27,$AB39='طريقة الحساب'!$B$3,U39*$AA39/الافتراضات!$B$26,$AB39='طريقة الحساب'!$B$4,U39*$AA39/الافتراضات!$B$28),"")</f>
        <v>6.0546079059207079E-2</v>
      </c>
      <c r="BA39" s="91" cm="1">
        <f t="array" ref="BA39">IFERROR(_xlfn.IFS($AB39="عدد الموظفين/الوحدة",V39*$AA39,$AB39='طريقة الحساب'!$B$2,V39*$AA39/الافتراضات!$B$27,$AB39='طريقة الحساب'!$B$3,V39*$AA39/الافتراضات!$B$26,$AB39='طريقة الحساب'!$B$4,V39*$AA39/الافتراضات!$B$28),"")</f>
        <v>6.5591585647474332E-2</v>
      </c>
      <c r="BB39" s="91" cm="1">
        <f t="array" ref="BB39">IFERROR(_xlfn.IFS($AB39="عدد الموظفين/الوحدة",W39*$AA39,$AB39='طريقة الحساب'!$B$2,W39*$AA39/الافتراضات!$B$27,$AB39='طريقة الحساب'!$B$3,W39*$AA39/الافتراضات!$B$26,$AB39='طريقة الحساب'!$B$4,W39*$AA39/الافتراضات!$B$28),"")</f>
        <v>7.0637092235741591E-2</v>
      </c>
      <c r="BC39" s="91" cm="1">
        <f t="array" ref="BC39">IFERROR(_xlfn.IFS($AB39="عدد الموظفين/الوحدة",X39*$AA39,$AB39='طريقة الحساب'!$B$2,X39*$AA39/الافتراضات!$B$27,$AB39='طريقة الحساب'!$B$3,X39*$AA39/الافتراضات!$B$26,$AB39='طريقة الحساب'!$B$4,X39*$AA39/الافتراضات!$B$28),"")</f>
        <v>7.5682598824008851E-2</v>
      </c>
      <c r="BD39" s="91" cm="1">
        <f t="array" ref="BD39">IFERROR(_xlfn.IFS($AB39="عدد الموظفين/الوحدة",Y39*$AA39,$AB39='طريقة الحساب'!$B$2,Y39*$AA39/الافتراضات!$B$27,$AB39='طريقة الحساب'!$B$3,Y39*$AA39/الافتراضات!$B$26,$AB39='طريقة الحساب'!$B$4,Y39*$AA39/الافتراضات!$B$28),"")</f>
        <v>7.5682598824008851E-2</v>
      </c>
      <c r="BE39" s="91" cm="1">
        <f t="array" ref="BE39">IFERROR(_xlfn.IFS($AB39="عدد الموظفين/الوحدة",Z39*$AA39,$AB39='طريقة الحساب'!$B$2,Z39*$AA39/الافتراضات!$B$27,$AB39='طريقة الحساب'!$B$3,Z39*$AA39/الافتراضات!$B$26,$AB39='طريقة الحساب'!$B$4,Z39*$AA39/الافتراضات!$B$28),"")</f>
        <v>0</v>
      </c>
      <c r="BF39" s="92"/>
    </row>
    <row r="40" spans="2:58" x14ac:dyDescent="0.35">
      <c r="B40" s="124" t="s">
        <v>87</v>
      </c>
      <c r="C40" s="131" t="s">
        <v>88</v>
      </c>
      <c r="D40" s="131" t="s">
        <v>90</v>
      </c>
      <c r="E40" s="138" t="s">
        <v>91</v>
      </c>
      <c r="F40" s="125" t="s">
        <v>122</v>
      </c>
      <c r="G40" s="126" t="s">
        <v>84</v>
      </c>
      <c r="H40" s="127"/>
      <c r="I40" s="132">
        <v>180</v>
      </c>
      <c r="J40" s="133">
        <v>200</v>
      </c>
      <c r="K40" s="133">
        <v>230</v>
      </c>
      <c r="L40" s="133">
        <v>260</v>
      </c>
      <c r="M40" s="133">
        <v>290</v>
      </c>
      <c r="N40" s="133">
        <v>320</v>
      </c>
      <c r="O40" s="133">
        <v>320</v>
      </c>
      <c r="P40" s="139">
        <v>10</v>
      </c>
      <c r="Q40" s="134" t="s">
        <v>45</v>
      </c>
      <c r="R40" s="128"/>
      <c r="S40" s="135">
        <v>180</v>
      </c>
      <c r="T40" s="135">
        <v>200</v>
      </c>
      <c r="U40" s="135">
        <v>230</v>
      </c>
      <c r="V40" s="135">
        <v>260</v>
      </c>
      <c r="W40" s="135">
        <v>290</v>
      </c>
      <c r="X40" s="135">
        <v>320</v>
      </c>
      <c r="Y40" s="135">
        <v>320</v>
      </c>
      <c r="Z40" s="79"/>
      <c r="AA40" s="135">
        <v>10</v>
      </c>
      <c r="AB40" s="136" t="s">
        <v>45</v>
      </c>
      <c r="AC40" s="80"/>
      <c r="AD40" s="81"/>
      <c r="AE40" s="82"/>
      <c r="AF40" s="82"/>
      <c r="AG40" s="82"/>
      <c r="AH40" s="82"/>
      <c r="AI40" s="82"/>
      <c r="AJ40" s="82"/>
      <c r="AK40" s="82"/>
      <c r="AL40" s="82"/>
      <c r="AM40" s="83"/>
      <c r="AN40" s="83"/>
      <c r="AO40" s="84" t="str">
        <f t="shared" si="10"/>
        <v>لا</v>
      </c>
      <c r="AP40" s="85" t="str">
        <f t="shared" si="11"/>
        <v/>
      </c>
      <c r="AQ40" s="84" t="str">
        <f t="shared" si="12"/>
        <v>لا</v>
      </c>
      <c r="AR40" s="85" t="str">
        <f t="shared" si="13"/>
        <v/>
      </c>
      <c r="AS40" s="86" t="str">
        <f t="shared" si="14"/>
        <v>لا</v>
      </c>
      <c r="AT40" s="87" t="str">
        <f t="shared" si="15"/>
        <v/>
      </c>
      <c r="AU40" s="88"/>
      <c r="AV40" s="89"/>
      <c r="AW40" s="90"/>
      <c r="AX40" s="91" cm="1">
        <f t="array" ref="AX40">IFERROR(_xlfn.IFS($AB40="عدد الموظفين/الوحدة",S40*$AA40,$AB40='طريقة الحساب'!$B$2,S40*$AA40/الافتراضات!$B$27,$AB40='طريقة الحساب'!$B$3,S40*$AA40/الافتراضات!$B$26,$AB40='طريقة الحساب'!$B$4,S40*$AA40/الافتراضات!$B$28),"")</f>
        <v>3.027303952960354E-2</v>
      </c>
      <c r="AY40" s="91" cm="1">
        <f t="array" ref="AY40">IFERROR(_xlfn.IFS($AB40="عدد الموظفين/الوحدة",T40*$AA40,$AB40='طريقة الحساب'!$B$2,T40*$AA40/الافتراضات!$B$27,$AB40='طريقة الحساب'!$B$3,T40*$AA40/الافتراضات!$B$26,$AB40='طريقة الحساب'!$B$4,T40*$AA40/الافتراضات!$B$28),"")</f>
        <v>3.3636710588448374E-2</v>
      </c>
      <c r="AZ40" s="91" cm="1">
        <f t="array" ref="AZ40">IFERROR(_xlfn.IFS($AB40="عدد الموظفين/الوحدة",U40*$AA40,$AB40='طريقة الحساب'!$B$2,U40*$AA40/الافتراضات!$B$27,$AB40='طريقة الحساب'!$B$3,U40*$AA40/الافتراضات!$B$26,$AB40='طريقة الحساب'!$B$4,U40*$AA40/الافتراضات!$B$28),"")</f>
        <v>3.8682217176715633E-2</v>
      </c>
      <c r="BA40" s="91" cm="1">
        <f t="array" ref="BA40">IFERROR(_xlfn.IFS($AB40="عدد الموظفين/الوحدة",V40*$AA40,$AB40='طريقة الحساب'!$B$2,V40*$AA40/الافتراضات!$B$27,$AB40='طريقة الحساب'!$B$3,V40*$AA40/الافتراضات!$B$26,$AB40='طريقة الحساب'!$B$4,V40*$AA40/الافتراضات!$B$28),"")</f>
        <v>4.3727723764982886E-2</v>
      </c>
      <c r="BB40" s="91" cm="1">
        <f t="array" ref="BB40">IFERROR(_xlfn.IFS($AB40="عدد الموظفين/الوحدة",W40*$AA40,$AB40='طريقة الحساب'!$B$2,W40*$AA40/الافتراضات!$B$27,$AB40='طريقة الحساب'!$B$3,W40*$AA40/الافتراضات!$B$26,$AB40='طريقة الحساب'!$B$4,W40*$AA40/الافتراضات!$B$28),"")</f>
        <v>4.8773230353250145E-2</v>
      </c>
      <c r="BC40" s="91" cm="1">
        <f t="array" ref="BC40">IFERROR(_xlfn.IFS($AB40="عدد الموظفين/الوحدة",X40*$AA40,$AB40='طريقة الحساب'!$B$2,X40*$AA40/الافتراضات!$B$27,$AB40='طريقة الحساب'!$B$3,X40*$AA40/الافتراضات!$B$26,$AB40='طريقة الحساب'!$B$4,X40*$AA40/الافتراضات!$B$28),"")</f>
        <v>5.3818736941517405E-2</v>
      </c>
      <c r="BD40" s="91" cm="1">
        <f t="array" ref="BD40">IFERROR(_xlfn.IFS($AB40="عدد الموظفين/الوحدة",Y40*$AA40,$AB40='طريقة الحساب'!$B$2,Y40*$AA40/الافتراضات!$B$27,$AB40='طريقة الحساب'!$B$3,Y40*$AA40/الافتراضات!$B$26,$AB40='طريقة الحساب'!$B$4,Y40*$AA40/الافتراضات!$B$28),"")</f>
        <v>5.3818736941517405E-2</v>
      </c>
      <c r="BE40" s="91" cm="1">
        <f t="array" ref="BE40">IFERROR(_xlfn.IFS($AB40="عدد الموظفين/الوحدة",Z40*$AA40,$AB40='طريقة الحساب'!$B$2,Z40*$AA40/الافتراضات!$B$27,$AB40='طريقة الحساب'!$B$3,Z40*$AA40/الافتراضات!$B$26,$AB40='طريقة الحساب'!$B$4,Z40*$AA40/الافتراضات!$B$28),"")</f>
        <v>0</v>
      </c>
      <c r="BF40" s="92"/>
    </row>
    <row r="41" spans="2:58" x14ac:dyDescent="0.35">
      <c r="B41" s="124" t="s">
        <v>87</v>
      </c>
      <c r="C41" s="131" t="s">
        <v>88</v>
      </c>
      <c r="D41" s="131" t="s">
        <v>90</v>
      </c>
      <c r="E41" s="138" t="s">
        <v>91</v>
      </c>
      <c r="F41" s="125" t="s">
        <v>123</v>
      </c>
      <c r="G41" s="126" t="s">
        <v>84</v>
      </c>
      <c r="H41" s="127"/>
      <c r="I41" s="132">
        <v>1800</v>
      </c>
      <c r="J41" s="133">
        <v>2000</v>
      </c>
      <c r="K41" s="133">
        <v>2300</v>
      </c>
      <c r="L41" s="133">
        <v>2600</v>
      </c>
      <c r="M41" s="133">
        <v>2900</v>
      </c>
      <c r="N41" s="133">
        <v>3200</v>
      </c>
      <c r="O41" s="133">
        <v>3200</v>
      </c>
      <c r="P41" s="139">
        <v>1</v>
      </c>
      <c r="Q41" s="134" t="s">
        <v>32</v>
      </c>
      <c r="R41" s="128"/>
      <c r="S41" s="135">
        <v>1800</v>
      </c>
      <c r="T41" s="135">
        <v>2000</v>
      </c>
      <c r="U41" s="135">
        <v>2300</v>
      </c>
      <c r="V41" s="135">
        <v>2600</v>
      </c>
      <c r="W41" s="135">
        <v>2900</v>
      </c>
      <c r="X41" s="135">
        <v>3200</v>
      </c>
      <c r="Y41" s="135">
        <v>3200</v>
      </c>
      <c r="Z41" s="79"/>
      <c r="AA41" s="135">
        <v>1</v>
      </c>
      <c r="AB41" s="136" t="s">
        <v>32</v>
      </c>
      <c r="AC41" s="80"/>
      <c r="AD41" s="81"/>
      <c r="AE41" s="82"/>
      <c r="AF41" s="82"/>
      <c r="AG41" s="82"/>
      <c r="AH41" s="82"/>
      <c r="AI41" s="82"/>
      <c r="AJ41" s="82"/>
      <c r="AK41" s="82"/>
      <c r="AL41" s="82"/>
      <c r="AM41" s="83"/>
      <c r="AN41" s="83"/>
      <c r="AO41" s="84" t="str">
        <f t="shared" si="10"/>
        <v>لا</v>
      </c>
      <c r="AP41" s="85" t="str">
        <f t="shared" si="11"/>
        <v/>
      </c>
      <c r="AQ41" s="84" t="str">
        <f t="shared" si="12"/>
        <v>لا</v>
      </c>
      <c r="AR41" s="85" t="str">
        <f t="shared" si="13"/>
        <v/>
      </c>
      <c r="AS41" s="86" t="str">
        <f t="shared" si="14"/>
        <v>لا</v>
      </c>
      <c r="AT41" s="87" t="str">
        <f t="shared" si="15"/>
        <v/>
      </c>
      <c r="AU41" s="88"/>
      <c r="AV41" s="89"/>
      <c r="AW41" s="90"/>
      <c r="AX41" s="91" cm="1">
        <f t="array" ref="AX41">IFERROR(_xlfn.IFS($AB41="عدد الموظفين/الوحدة",S41*$AA41,$AB41='طريقة الحساب'!$B$2,S41*$AA41/الافتراضات!$B$27,$AB41='طريقة الحساب'!$B$3,S41*$AA41/الافتراضات!$B$26,$AB41='طريقة الحساب'!$B$4,S41*$AA41/الافتراضات!$B$28),"")</f>
        <v>1.8163823717762122</v>
      </c>
      <c r="AY41" s="91" cm="1">
        <f t="array" ref="AY41">IFERROR(_xlfn.IFS($AB41="عدد الموظفين/الوحدة",T41*$AA41,$AB41='طريقة الحساب'!$B$2,T41*$AA41/الافتراضات!$B$27,$AB41='طريقة الحساب'!$B$3,T41*$AA41/الافتراضات!$B$26,$AB41='طريقة الحساب'!$B$4,T41*$AA41/الافتراضات!$B$28),"")</f>
        <v>2.0182026353069027</v>
      </c>
      <c r="AZ41" s="91" cm="1">
        <f t="array" ref="AZ41">IFERROR(_xlfn.IFS($AB41="عدد الموظفين/الوحدة",U41*$AA41,$AB41='طريقة الحساب'!$B$2,U41*$AA41/الافتراضات!$B$27,$AB41='طريقة الحساب'!$B$3,U41*$AA41/الافتراضات!$B$26,$AB41='طريقة الحساب'!$B$4,U41*$AA41/الافتراضات!$B$28),"")</f>
        <v>2.3209330306029381</v>
      </c>
      <c r="BA41" s="91" cm="1">
        <f t="array" ref="BA41">IFERROR(_xlfn.IFS($AB41="عدد الموظفين/الوحدة",V41*$AA41,$AB41='طريقة الحساب'!$B$2,V41*$AA41/الافتراضات!$B$27,$AB41='طريقة الحساب'!$B$3,V41*$AA41/الافتراضات!$B$26,$AB41='طريقة الحساب'!$B$4,V41*$AA41/الافتراضات!$B$28),"")</f>
        <v>2.6236634258989735</v>
      </c>
      <c r="BB41" s="91" cm="1">
        <f t="array" ref="BB41">IFERROR(_xlfn.IFS($AB41="عدد الموظفين/الوحدة",W41*$AA41,$AB41='طريقة الحساب'!$B$2,W41*$AA41/الافتراضات!$B$27,$AB41='طريقة الحساب'!$B$3,W41*$AA41/الافتراضات!$B$26,$AB41='طريقة الحساب'!$B$4,W41*$AA41/الافتراضات!$B$28),"")</f>
        <v>2.9263938211950085</v>
      </c>
      <c r="BC41" s="91" cm="1">
        <f t="array" ref="BC41">IFERROR(_xlfn.IFS($AB41="عدد الموظفين/الوحدة",X41*$AA41,$AB41='طريقة الحساب'!$B$2,X41*$AA41/الافتراضات!$B$27,$AB41='طريقة الحساب'!$B$3,X41*$AA41/الافتراضات!$B$26,$AB41='طريقة الحساب'!$B$4,X41*$AA41/الافتراضات!$B$28),"")</f>
        <v>3.2291242164910439</v>
      </c>
      <c r="BD41" s="91" cm="1">
        <f t="array" ref="BD41">IFERROR(_xlfn.IFS($AB41="عدد الموظفين/الوحدة",Y41*$AA41,$AB41='طريقة الحساب'!$B$2,Y41*$AA41/الافتراضات!$B$27,$AB41='طريقة الحساب'!$B$3,Y41*$AA41/الافتراضات!$B$26,$AB41='طريقة الحساب'!$B$4,Y41*$AA41/الافتراضات!$B$28),"")</f>
        <v>3.2291242164910439</v>
      </c>
      <c r="BE41" s="91" cm="1">
        <f t="array" ref="BE41">IFERROR(_xlfn.IFS($AB41="عدد الموظفين/الوحدة",Z41*$AA41,$AB41='طريقة الحساب'!$B$2,Z41*$AA41/الافتراضات!$B$27,$AB41='طريقة الحساب'!$B$3,Z41*$AA41/الافتراضات!$B$26,$AB41='طريقة الحساب'!$B$4,Z41*$AA41/الافتراضات!$B$28),"")</f>
        <v>0</v>
      </c>
      <c r="BF41" s="92"/>
    </row>
    <row r="42" spans="2:58" x14ac:dyDescent="0.35">
      <c r="B42" s="124" t="s">
        <v>87</v>
      </c>
      <c r="C42" s="131" t="s">
        <v>88</v>
      </c>
      <c r="D42" s="131" t="s">
        <v>90</v>
      </c>
      <c r="E42" s="138" t="s">
        <v>91</v>
      </c>
      <c r="F42" s="125" t="s">
        <v>124</v>
      </c>
      <c r="G42" s="126" t="s">
        <v>84</v>
      </c>
      <c r="H42" s="127"/>
      <c r="I42" s="132">
        <v>120</v>
      </c>
      <c r="J42" s="133">
        <v>140</v>
      </c>
      <c r="K42" s="133">
        <v>160</v>
      </c>
      <c r="L42" s="133">
        <v>200</v>
      </c>
      <c r="M42" s="133">
        <v>240</v>
      </c>
      <c r="N42" s="133">
        <v>280</v>
      </c>
      <c r="O42" s="133">
        <v>280</v>
      </c>
      <c r="P42" s="139">
        <v>1</v>
      </c>
      <c r="Q42" s="134" t="s">
        <v>46</v>
      </c>
      <c r="R42" s="128"/>
      <c r="S42" s="135">
        <v>120</v>
      </c>
      <c r="T42" s="135">
        <v>140</v>
      </c>
      <c r="U42" s="135">
        <v>160</v>
      </c>
      <c r="V42" s="135">
        <v>200</v>
      </c>
      <c r="W42" s="135">
        <v>240</v>
      </c>
      <c r="X42" s="135">
        <v>280</v>
      </c>
      <c r="Y42" s="135">
        <v>280</v>
      </c>
      <c r="Z42" s="79"/>
      <c r="AA42" s="135">
        <v>1</v>
      </c>
      <c r="AB42" s="136" t="s">
        <v>46</v>
      </c>
      <c r="AC42" s="80"/>
      <c r="AD42" s="81"/>
      <c r="AE42" s="82"/>
      <c r="AF42" s="82"/>
      <c r="AG42" s="82"/>
      <c r="AH42" s="82"/>
      <c r="AI42" s="82"/>
      <c r="AJ42" s="82"/>
      <c r="AK42" s="82"/>
      <c r="AL42" s="82"/>
      <c r="AM42" s="83"/>
      <c r="AN42" s="83"/>
      <c r="AO42" s="84" t="str">
        <f t="shared" si="10"/>
        <v>لا</v>
      </c>
      <c r="AP42" s="85" t="str">
        <f t="shared" si="11"/>
        <v/>
      </c>
      <c r="AQ42" s="84" t="str">
        <f t="shared" si="12"/>
        <v>لا</v>
      </c>
      <c r="AR42" s="85" t="str">
        <f t="shared" si="13"/>
        <v/>
      </c>
      <c r="AS42" s="86" t="str">
        <f t="shared" si="14"/>
        <v>لا</v>
      </c>
      <c r="AT42" s="87" t="str">
        <f t="shared" si="15"/>
        <v/>
      </c>
      <c r="AU42" s="88"/>
      <c r="AV42" s="89"/>
      <c r="AW42" s="90"/>
      <c r="AX42" s="91" cm="1">
        <f t="array" ref="AX42">IFERROR(_xlfn.IFS($AB42="عدد الموظفين/الوحدة",S42*$AA42,$AB42='طريقة الحساب'!$B$2,S42*$AA42/الافتراضات!$B$27,$AB42='طريقة الحساب'!$B$3,S42*$AA42/الافتراضات!$B$26,$AB42='طريقة الحساب'!$B$4,S42*$AA42/الافتراضات!$B$28),"")</f>
        <v>0.62176165803108807</v>
      </c>
      <c r="AY42" s="91" cm="1">
        <f t="array" ref="AY42">IFERROR(_xlfn.IFS($AB42="عدد الموظفين/الوحدة",T42*$AA42,$AB42='طريقة الحساب'!$B$2,T42*$AA42/الافتراضات!$B$27,$AB42='طريقة الحساب'!$B$3,T42*$AA42/الافتراضات!$B$26,$AB42='طريقة الحساب'!$B$4,T42*$AA42/الافتراضات!$B$28),"")</f>
        <v>0.72538860103626945</v>
      </c>
      <c r="AZ42" s="91" cm="1">
        <f t="array" ref="AZ42">IFERROR(_xlfn.IFS($AB42="عدد الموظفين/الوحدة",U42*$AA42,$AB42='طريقة الحساب'!$B$2,U42*$AA42/الافتراضات!$B$27,$AB42='طريقة الحساب'!$B$3,U42*$AA42/الافتراضات!$B$26,$AB42='طريقة الحساب'!$B$4,U42*$AA42/الافتراضات!$B$28),"")</f>
        <v>0.82901554404145072</v>
      </c>
      <c r="BA42" s="91" cm="1">
        <f t="array" ref="BA42">IFERROR(_xlfn.IFS($AB42="عدد الموظفين/الوحدة",V42*$AA42,$AB42='طريقة الحساب'!$B$2,V42*$AA42/الافتراضات!$B$27,$AB42='طريقة الحساب'!$B$3,V42*$AA42/الافتراضات!$B$26,$AB42='طريقة الحساب'!$B$4,V42*$AA42/الافتراضات!$B$28),"")</f>
        <v>1.0362694300518134</v>
      </c>
      <c r="BB42" s="91" cm="1">
        <f t="array" ref="BB42">IFERROR(_xlfn.IFS($AB42="عدد الموظفين/الوحدة",W42*$AA42,$AB42='طريقة الحساب'!$B$2,W42*$AA42/الافتراضات!$B$27,$AB42='طريقة الحساب'!$B$3,W42*$AA42/الافتراضات!$B$26,$AB42='طريقة الحساب'!$B$4,W42*$AA42/الافتراضات!$B$28),"")</f>
        <v>1.2435233160621761</v>
      </c>
      <c r="BC42" s="91" cm="1">
        <f t="array" ref="BC42">IFERROR(_xlfn.IFS($AB42="عدد الموظفين/الوحدة",X42*$AA42,$AB42='طريقة الحساب'!$B$2,X42*$AA42/الافتراضات!$B$27,$AB42='طريقة الحساب'!$B$3,X42*$AA42/الافتراضات!$B$26,$AB42='طريقة الحساب'!$B$4,X42*$AA42/الافتراضات!$B$28),"")</f>
        <v>1.4507772020725389</v>
      </c>
      <c r="BD42" s="91" cm="1">
        <f t="array" ref="BD42">IFERROR(_xlfn.IFS($AB42="عدد الموظفين/الوحدة",Y42*$AA42,$AB42='طريقة الحساب'!$B$2,Y42*$AA42/الافتراضات!$B$27,$AB42='طريقة الحساب'!$B$3,Y42*$AA42/الافتراضات!$B$26,$AB42='طريقة الحساب'!$B$4,Y42*$AA42/الافتراضات!$B$28),"")</f>
        <v>1.4507772020725389</v>
      </c>
      <c r="BE42" s="91" cm="1">
        <f t="array" ref="BE42">IFERROR(_xlfn.IFS($AB42="عدد الموظفين/الوحدة",Z42*$AA42,$AB42='طريقة الحساب'!$B$2,Z42*$AA42/الافتراضات!$B$27,$AB42='طريقة الحساب'!$B$3,Z42*$AA42/الافتراضات!$B$26,$AB42='طريقة الحساب'!$B$4,Z42*$AA42/الافتراضات!$B$28),"")</f>
        <v>0</v>
      </c>
      <c r="BF42" s="92"/>
    </row>
    <row r="43" spans="2:58" x14ac:dyDescent="0.35">
      <c r="B43" s="124" t="s">
        <v>87</v>
      </c>
      <c r="C43" s="131" t="s">
        <v>88</v>
      </c>
      <c r="D43" s="131" t="s">
        <v>90</v>
      </c>
      <c r="E43" s="138" t="s">
        <v>91</v>
      </c>
      <c r="F43" s="125" t="s">
        <v>125</v>
      </c>
      <c r="G43" s="126" t="s">
        <v>84</v>
      </c>
      <c r="H43" s="127"/>
      <c r="I43" s="132">
        <v>192</v>
      </c>
      <c r="J43" s="133">
        <v>200</v>
      </c>
      <c r="K43" s="133">
        <v>210</v>
      </c>
      <c r="L43" s="133">
        <v>220</v>
      </c>
      <c r="M43" s="133">
        <v>230</v>
      </c>
      <c r="N43" s="133">
        <v>240</v>
      </c>
      <c r="O43" s="133">
        <v>240</v>
      </c>
      <c r="P43" s="139">
        <v>1</v>
      </c>
      <c r="Q43" s="134" t="s">
        <v>32</v>
      </c>
      <c r="R43" s="128"/>
      <c r="S43" s="135">
        <v>192</v>
      </c>
      <c r="T43" s="135">
        <v>200</v>
      </c>
      <c r="U43" s="135">
        <v>210</v>
      </c>
      <c r="V43" s="135">
        <v>220</v>
      </c>
      <c r="W43" s="135">
        <v>230</v>
      </c>
      <c r="X43" s="135">
        <v>240</v>
      </c>
      <c r="Y43" s="135">
        <v>240</v>
      </c>
      <c r="Z43" s="79"/>
      <c r="AA43" s="135">
        <v>1</v>
      </c>
      <c r="AB43" s="136" t="s">
        <v>32</v>
      </c>
      <c r="AC43" s="80"/>
      <c r="AD43" s="81"/>
      <c r="AE43" s="82"/>
      <c r="AF43" s="82"/>
      <c r="AG43" s="82"/>
      <c r="AH43" s="82"/>
      <c r="AI43" s="82"/>
      <c r="AJ43" s="82"/>
      <c r="AK43" s="82"/>
      <c r="AL43" s="82"/>
      <c r="AM43" s="83"/>
      <c r="AN43" s="83"/>
      <c r="AO43" s="84" t="str">
        <f t="shared" si="10"/>
        <v>لا</v>
      </c>
      <c r="AP43" s="85" t="str">
        <f t="shared" si="11"/>
        <v/>
      </c>
      <c r="AQ43" s="84" t="str">
        <f t="shared" si="12"/>
        <v>لا</v>
      </c>
      <c r="AR43" s="85" t="str">
        <f t="shared" si="13"/>
        <v/>
      </c>
      <c r="AS43" s="86" t="str">
        <f t="shared" si="14"/>
        <v>لا</v>
      </c>
      <c r="AT43" s="87" t="str">
        <f t="shared" si="15"/>
        <v/>
      </c>
      <c r="AU43" s="88"/>
      <c r="AV43" s="89"/>
      <c r="AW43" s="90"/>
      <c r="AX43" s="91" cm="1">
        <f t="array" ref="AX43">IFERROR(_xlfn.IFS($AB43="عدد الموظفين/الوحدة",S43*$AA43,$AB43='طريقة الحساب'!$B$2,S43*$AA43/الافتراضات!$B$27,$AB43='طريقة الحساب'!$B$3,S43*$AA43/الافتراضات!$B$26,$AB43='طريقة الحساب'!$B$4,S43*$AA43/الافتراضات!$B$28),"")</f>
        <v>0.19374745298946264</v>
      </c>
      <c r="AY43" s="91" cm="1">
        <f t="array" ref="AY43">IFERROR(_xlfn.IFS($AB43="عدد الموظفين/الوحدة",T43*$AA43,$AB43='طريقة الحساب'!$B$2,T43*$AA43/الافتراضات!$B$27,$AB43='طريقة الحساب'!$B$3,T43*$AA43/الافتراضات!$B$26,$AB43='طريقة الحساب'!$B$4,T43*$AA43/الافتراضات!$B$28),"")</f>
        <v>0.20182026353069024</v>
      </c>
      <c r="AZ43" s="91" cm="1">
        <f t="array" ref="AZ43">IFERROR(_xlfn.IFS($AB43="عدد الموظفين/الوحدة",U43*$AA43,$AB43='طريقة الحساب'!$B$2,U43*$AA43/الافتراضات!$B$27,$AB43='طريقة الحساب'!$B$3,U43*$AA43/الافتراضات!$B$26,$AB43='طريقة الحساب'!$B$4,U43*$AA43/الافتراضات!$B$28),"")</f>
        <v>0.21191127670722476</v>
      </c>
      <c r="BA43" s="91" cm="1">
        <f t="array" ref="BA43">IFERROR(_xlfn.IFS($AB43="عدد الموظفين/الوحدة",V43*$AA43,$AB43='طريقة الحساب'!$B$2,V43*$AA43/الافتراضات!$B$27,$AB43='طريقة الحساب'!$B$3,V43*$AA43/الافتراضات!$B$26,$AB43='طريقة الحساب'!$B$4,V43*$AA43/الافتراضات!$B$28),"")</f>
        <v>0.22200228988375928</v>
      </c>
      <c r="BB43" s="91" cm="1">
        <f t="array" ref="BB43">IFERROR(_xlfn.IFS($AB43="عدد الموظفين/الوحدة",W43*$AA43,$AB43='طريقة الحساب'!$B$2,W43*$AA43/الافتراضات!$B$27,$AB43='طريقة الحساب'!$B$3,W43*$AA43/الافتراضات!$B$26,$AB43='طريقة الحساب'!$B$4,W43*$AA43/الافتراضات!$B$28),"")</f>
        <v>0.2320933030602938</v>
      </c>
      <c r="BC43" s="91" cm="1">
        <f t="array" ref="BC43">IFERROR(_xlfn.IFS($AB43="عدد الموظفين/الوحدة",X43*$AA43,$AB43='طريقة الحساب'!$B$2,X43*$AA43/الافتراضات!$B$27,$AB43='طريقة الحساب'!$B$3,X43*$AA43/الافتراضات!$B$26,$AB43='طريقة الحساب'!$B$4,X43*$AA43/الافتراضات!$B$28),"")</f>
        <v>0.24218431623682832</v>
      </c>
      <c r="BD43" s="91" cm="1">
        <f t="array" ref="BD43">IFERROR(_xlfn.IFS($AB43="عدد الموظفين/الوحدة",Y43*$AA43,$AB43='طريقة الحساب'!$B$2,Y43*$AA43/الافتراضات!$B$27,$AB43='طريقة الحساب'!$B$3,Y43*$AA43/الافتراضات!$B$26,$AB43='طريقة الحساب'!$B$4,Y43*$AA43/الافتراضات!$B$28),"")</f>
        <v>0.24218431623682832</v>
      </c>
      <c r="BE43" s="91" cm="1">
        <f t="array" ref="BE43">IFERROR(_xlfn.IFS($AB43="عدد الموظفين/الوحدة",Z43*$AA43,$AB43='طريقة الحساب'!$B$2,Z43*$AA43/الافتراضات!$B$27,$AB43='طريقة الحساب'!$B$3,Z43*$AA43/الافتراضات!$B$26,$AB43='طريقة الحساب'!$B$4,Z43*$AA43/الافتراضات!$B$28),"")</f>
        <v>0</v>
      </c>
      <c r="BF43" s="92"/>
    </row>
    <row r="44" spans="2:58" x14ac:dyDescent="0.35">
      <c r="B44" s="124" t="s">
        <v>87</v>
      </c>
      <c r="C44" s="131" t="s">
        <v>88</v>
      </c>
      <c r="D44" s="131" t="s">
        <v>90</v>
      </c>
      <c r="E44" s="138" t="s">
        <v>91</v>
      </c>
      <c r="F44" s="125" t="s">
        <v>126</v>
      </c>
      <c r="G44" s="126" t="s">
        <v>84</v>
      </c>
      <c r="H44" s="127"/>
      <c r="I44" s="132">
        <v>18000</v>
      </c>
      <c r="J44" s="133">
        <v>18900</v>
      </c>
      <c r="K44" s="133">
        <v>19845</v>
      </c>
      <c r="L44" s="133">
        <v>20837.25</v>
      </c>
      <c r="M44" s="133">
        <v>21879.112499999999</v>
      </c>
      <c r="N44" s="133">
        <v>22973.068125000002</v>
      </c>
      <c r="O44" s="133">
        <v>22973.068125000002</v>
      </c>
      <c r="P44" s="139">
        <v>30</v>
      </c>
      <c r="Q44" s="134" t="s">
        <v>45</v>
      </c>
      <c r="R44" s="128"/>
      <c r="S44" s="135">
        <v>18000</v>
      </c>
      <c r="T44" s="135">
        <v>18900</v>
      </c>
      <c r="U44" s="135">
        <v>19845</v>
      </c>
      <c r="V44" s="135">
        <v>20837.25</v>
      </c>
      <c r="W44" s="135">
        <v>21879.112499999999</v>
      </c>
      <c r="X44" s="135">
        <v>22973.068125000002</v>
      </c>
      <c r="Y44" s="135">
        <v>22973.068125000002</v>
      </c>
      <c r="Z44" s="79"/>
      <c r="AA44" s="135">
        <v>30</v>
      </c>
      <c r="AB44" s="136" t="s">
        <v>45</v>
      </c>
      <c r="AC44" s="80"/>
      <c r="AD44" s="81"/>
      <c r="AE44" s="82"/>
      <c r="AF44" s="82"/>
      <c r="AG44" s="82"/>
      <c r="AH44" s="82"/>
      <c r="AI44" s="82"/>
      <c r="AJ44" s="82"/>
      <c r="AK44" s="82"/>
      <c r="AL44" s="82"/>
      <c r="AM44" s="83"/>
      <c r="AN44" s="83"/>
      <c r="AO44" s="84" t="str">
        <f t="shared" si="10"/>
        <v>لا</v>
      </c>
      <c r="AP44" s="85" t="str">
        <f t="shared" si="11"/>
        <v/>
      </c>
      <c r="AQ44" s="84" t="str">
        <f t="shared" si="12"/>
        <v>لا</v>
      </c>
      <c r="AR44" s="85" t="str">
        <f t="shared" si="13"/>
        <v/>
      </c>
      <c r="AS44" s="86" t="str">
        <f t="shared" si="14"/>
        <v>لا</v>
      </c>
      <c r="AT44" s="87" t="str">
        <f t="shared" si="15"/>
        <v/>
      </c>
      <c r="AU44" s="88"/>
      <c r="AV44" s="89"/>
      <c r="AW44" s="90"/>
      <c r="AX44" s="91" cm="1">
        <f t="array" ref="AX44">IFERROR(_xlfn.IFS($AB44="عدد الموظفين/الوحدة",S44*$AA44,$AB44='طريقة الحساب'!$B$2,S44*$AA44/الافتراضات!$B$27,$AB44='طريقة الحساب'!$B$3,S44*$AA44/الافتراضات!$B$26,$AB44='طريقة الحساب'!$B$4,S44*$AA44/الافتراضات!$B$28),"")</f>
        <v>9.0819118588810621</v>
      </c>
      <c r="AY44" s="91" cm="1">
        <f t="array" ref="AY44">IFERROR(_xlfn.IFS($AB44="عدد الموظفين/الوحدة",T44*$AA44,$AB44='طريقة الحساب'!$B$2,T44*$AA44/الافتراضات!$B$27,$AB44='طريقة الحساب'!$B$3,T44*$AA44/الافتراضات!$B$26,$AB44='طريقة الحساب'!$B$4,T44*$AA44/الافتراضات!$B$28),"")</f>
        <v>9.5360074518251139</v>
      </c>
      <c r="AZ44" s="91" cm="1">
        <f t="array" ref="AZ44">IFERROR(_xlfn.IFS($AB44="عدد الموظفين/الوحدة",U44*$AA44,$AB44='طريقة الحساب'!$B$2,U44*$AA44/الافتراضات!$B$27,$AB44='طريقة الحساب'!$B$3,U44*$AA44/الافتراضات!$B$26,$AB44='طريقة الحساب'!$B$4,U44*$AA44/الافتراضات!$B$28),"")</f>
        <v>10.01280782441637</v>
      </c>
      <c r="BA44" s="91" cm="1">
        <f t="array" ref="BA44">IFERROR(_xlfn.IFS($AB44="عدد الموظفين/الوحدة",V44*$AA44,$AB44='طريقة الحساب'!$B$2,V44*$AA44/الافتراضات!$B$27,$AB44='طريقة الحساب'!$B$3,V44*$AA44/الافتراضات!$B$26,$AB44='طريقة الحساب'!$B$4,V44*$AA44/الافتراضات!$B$28),"")</f>
        <v>10.513448215637188</v>
      </c>
      <c r="BB44" s="91" cm="1">
        <f t="array" ref="BB44">IFERROR(_xlfn.IFS($AB44="عدد الموظفين/الوحدة",W44*$AA44,$AB44='طريقة الحساب'!$B$2,W44*$AA44/الافتراضات!$B$27,$AB44='طريقة الحساب'!$B$3,W44*$AA44/الافتراضات!$B$26,$AB44='طريقة الحساب'!$B$4,W44*$AA44/الافتراضات!$B$28),"")</f>
        <v>11.039120626419049</v>
      </c>
      <c r="BC44" s="91" cm="1">
        <f t="array" ref="BC44">IFERROR(_xlfn.IFS($AB44="عدد الموظفين/الوحدة",X44*$AA44,$AB44='طريقة الحساب'!$B$2,X44*$AA44/الافتراضات!$B$27,$AB44='طريقة الحساب'!$B$3,X44*$AA44/الافتراضات!$B$26,$AB44='طريقة الحساب'!$B$4,X44*$AA44/الافتراضات!$B$28),"")</f>
        <v>11.591076657740002</v>
      </c>
      <c r="BD44" s="91" cm="1">
        <f t="array" ref="BD44">IFERROR(_xlfn.IFS($AB44="عدد الموظفين/الوحدة",Y44*$AA44,$AB44='طريقة الحساب'!$B$2,Y44*$AA44/الافتراضات!$B$27,$AB44='طريقة الحساب'!$B$3,Y44*$AA44/الافتراضات!$B$26,$AB44='طريقة الحساب'!$B$4,Y44*$AA44/الافتراضات!$B$28),"")</f>
        <v>11.591076657740002</v>
      </c>
      <c r="BE44" s="91" cm="1">
        <f t="array" ref="BE44">IFERROR(_xlfn.IFS($AB44="عدد الموظفين/الوحدة",Z44*$AA44,$AB44='طريقة الحساب'!$B$2,Z44*$AA44/الافتراضات!$B$27,$AB44='طريقة الحساب'!$B$3,Z44*$AA44/الافتراضات!$B$26,$AB44='طريقة الحساب'!$B$4,Z44*$AA44/الافتراضات!$B$28),"")</f>
        <v>0</v>
      </c>
      <c r="BF44" s="92"/>
    </row>
    <row r="45" spans="2:58" x14ac:dyDescent="0.35">
      <c r="B45" s="124" t="s">
        <v>87</v>
      </c>
      <c r="C45" s="131" t="s">
        <v>88</v>
      </c>
      <c r="D45" s="131" t="s">
        <v>90</v>
      </c>
      <c r="E45" s="138" t="s">
        <v>91</v>
      </c>
      <c r="F45" s="125" t="s">
        <v>127</v>
      </c>
      <c r="G45" s="126" t="s">
        <v>84</v>
      </c>
      <c r="H45" s="127"/>
      <c r="I45" s="132">
        <v>108000</v>
      </c>
      <c r="J45" s="133">
        <v>120000</v>
      </c>
      <c r="K45" s="133">
        <v>130000</v>
      </c>
      <c r="L45" s="133">
        <v>140000</v>
      </c>
      <c r="M45" s="133">
        <v>150000</v>
      </c>
      <c r="N45" s="133">
        <v>160000</v>
      </c>
      <c r="O45" s="133">
        <v>160000</v>
      </c>
      <c r="P45" s="139">
        <v>10</v>
      </c>
      <c r="Q45" s="134" t="s">
        <v>45</v>
      </c>
      <c r="R45" s="128"/>
      <c r="S45" s="135">
        <v>108000</v>
      </c>
      <c r="T45" s="135">
        <v>120000</v>
      </c>
      <c r="U45" s="135">
        <v>130000</v>
      </c>
      <c r="V45" s="135">
        <v>140000</v>
      </c>
      <c r="W45" s="135">
        <v>150000</v>
      </c>
      <c r="X45" s="135">
        <v>160000</v>
      </c>
      <c r="Y45" s="135">
        <v>160000</v>
      </c>
      <c r="Z45" s="79"/>
      <c r="AA45" s="135">
        <v>10</v>
      </c>
      <c r="AB45" s="136" t="s">
        <v>45</v>
      </c>
      <c r="AC45" s="80"/>
      <c r="AD45" s="81"/>
      <c r="AE45" s="82"/>
      <c r="AF45" s="82"/>
      <c r="AG45" s="82"/>
      <c r="AH45" s="82"/>
      <c r="AI45" s="82"/>
      <c r="AJ45" s="82"/>
      <c r="AK45" s="82"/>
      <c r="AL45" s="82"/>
      <c r="AM45" s="83"/>
      <c r="AN45" s="83"/>
      <c r="AO45" s="84" t="str">
        <f t="shared" si="10"/>
        <v>لا</v>
      </c>
      <c r="AP45" s="85" t="str">
        <f t="shared" si="11"/>
        <v/>
      </c>
      <c r="AQ45" s="84" t="str">
        <f t="shared" si="12"/>
        <v>لا</v>
      </c>
      <c r="AR45" s="85" t="str">
        <f t="shared" si="13"/>
        <v/>
      </c>
      <c r="AS45" s="86" t="str">
        <f t="shared" si="14"/>
        <v>لا</v>
      </c>
      <c r="AT45" s="87" t="str">
        <f t="shared" si="15"/>
        <v/>
      </c>
      <c r="AU45" s="88"/>
      <c r="AV45" s="89"/>
      <c r="AW45" s="90"/>
      <c r="AX45" s="91" cm="1">
        <f t="array" ref="AX45">IFERROR(_xlfn.IFS($AB45="عدد الموظفين/الوحدة",S45*$AA45,$AB45='طريقة الحساب'!$B$2,S45*$AA45/الافتراضات!$B$27,$AB45='طريقة الحساب'!$B$3,S45*$AA45/الافتراضات!$B$26,$AB45='طريقة الحساب'!$B$4,S45*$AA45/الافتراضات!$B$28),"")</f>
        <v>18.163823717762124</v>
      </c>
      <c r="AY45" s="91" cm="1">
        <f t="array" ref="AY45">IFERROR(_xlfn.IFS($AB45="عدد الموظفين/الوحدة",T45*$AA45,$AB45='طريقة الحساب'!$B$2,T45*$AA45/الافتراضات!$B$27,$AB45='طريقة الحساب'!$B$3,T45*$AA45/الافتراضات!$B$26,$AB45='طريقة الحساب'!$B$4,T45*$AA45/الافتراضات!$B$28),"")</f>
        <v>20.182026353069027</v>
      </c>
      <c r="AZ45" s="91" cm="1">
        <f t="array" ref="AZ45">IFERROR(_xlfn.IFS($AB45="عدد الموظفين/الوحدة",U45*$AA45,$AB45='طريقة الحساب'!$B$2,U45*$AA45/الافتراضات!$B$27,$AB45='طريقة الحساب'!$B$3,U45*$AA45/الافتراضات!$B$26,$AB45='طريقة الحساب'!$B$4,U45*$AA45/الافتراضات!$B$28),"")</f>
        <v>21.863861882491445</v>
      </c>
      <c r="BA45" s="91" cm="1">
        <f t="array" ref="BA45">IFERROR(_xlfn.IFS($AB45="عدد الموظفين/الوحدة",V45*$AA45,$AB45='طريقة الحساب'!$B$2,V45*$AA45/الافتراضات!$B$27,$AB45='طريقة الحساب'!$B$3,V45*$AA45/الافتراضات!$B$26,$AB45='طريقة الحساب'!$B$4,V45*$AA45/الافتراضات!$B$28),"")</f>
        <v>23.545697411913864</v>
      </c>
      <c r="BB45" s="91" cm="1">
        <f t="array" ref="BB45">IFERROR(_xlfn.IFS($AB45="عدد الموظفين/الوحدة",W45*$AA45,$AB45='طريقة الحساب'!$B$2,W45*$AA45/الافتراضات!$B$27,$AB45='طريقة الحساب'!$B$3,W45*$AA45/الافتراضات!$B$26,$AB45='طريقة الحساب'!$B$4,W45*$AA45/الافتراضات!$B$28),"")</f>
        <v>25.227532941336282</v>
      </c>
      <c r="BC45" s="91" cm="1">
        <f t="array" ref="BC45">IFERROR(_xlfn.IFS($AB45="عدد الموظفين/الوحدة",X45*$AA45,$AB45='طريقة الحساب'!$B$2,X45*$AA45/الافتراضات!$B$27,$AB45='طريقة الحساب'!$B$3,X45*$AA45/الافتراضات!$B$26,$AB45='طريقة الحساب'!$B$4,X45*$AA45/الافتراضات!$B$28),"")</f>
        <v>26.9093684707587</v>
      </c>
      <c r="BD45" s="91" cm="1">
        <f t="array" ref="BD45">IFERROR(_xlfn.IFS($AB45="عدد الموظفين/الوحدة",Y45*$AA45,$AB45='طريقة الحساب'!$B$2,Y45*$AA45/الافتراضات!$B$27,$AB45='طريقة الحساب'!$B$3,Y45*$AA45/الافتراضات!$B$26,$AB45='طريقة الحساب'!$B$4,Y45*$AA45/الافتراضات!$B$28),"")</f>
        <v>26.9093684707587</v>
      </c>
      <c r="BE45" s="91" cm="1">
        <f t="array" ref="BE45">IFERROR(_xlfn.IFS($AB45="عدد الموظفين/الوحدة",Z45*$AA45,$AB45='طريقة الحساب'!$B$2,Z45*$AA45/الافتراضات!$B$27,$AB45='طريقة الحساب'!$B$3,Z45*$AA45/الافتراضات!$B$26,$AB45='طريقة الحساب'!$B$4,Z45*$AA45/الافتراضات!$B$28),"")</f>
        <v>0</v>
      </c>
      <c r="BF45" s="92"/>
    </row>
    <row r="46" spans="2:58" x14ac:dyDescent="0.35">
      <c r="B46" s="124" t="s">
        <v>87</v>
      </c>
      <c r="C46" s="131" t="s">
        <v>88</v>
      </c>
      <c r="D46" s="131" t="s">
        <v>90</v>
      </c>
      <c r="E46" s="138" t="s">
        <v>91</v>
      </c>
      <c r="F46" s="125" t="s">
        <v>128</v>
      </c>
      <c r="G46" s="126" t="s">
        <v>84</v>
      </c>
      <c r="H46" s="127"/>
      <c r="I46" s="132">
        <v>7200</v>
      </c>
      <c r="J46" s="133">
        <v>7400</v>
      </c>
      <c r="K46" s="133">
        <v>7600</v>
      </c>
      <c r="L46" s="133">
        <v>7800</v>
      </c>
      <c r="M46" s="133">
        <v>8000</v>
      </c>
      <c r="N46" s="133">
        <v>8200</v>
      </c>
      <c r="O46" s="133">
        <v>8200</v>
      </c>
      <c r="P46" s="139">
        <v>5</v>
      </c>
      <c r="Q46" s="134" t="s">
        <v>45</v>
      </c>
      <c r="R46" s="128"/>
      <c r="S46" s="135">
        <v>7200</v>
      </c>
      <c r="T46" s="135">
        <v>7400</v>
      </c>
      <c r="U46" s="135">
        <v>7600</v>
      </c>
      <c r="V46" s="135">
        <v>7800</v>
      </c>
      <c r="W46" s="135">
        <v>8000</v>
      </c>
      <c r="X46" s="135">
        <v>8200</v>
      </c>
      <c r="Y46" s="135">
        <v>8200</v>
      </c>
      <c r="Z46" s="79"/>
      <c r="AA46" s="135">
        <v>5</v>
      </c>
      <c r="AB46" s="136" t="s">
        <v>45</v>
      </c>
      <c r="AC46" s="80"/>
      <c r="AD46" s="81"/>
      <c r="AE46" s="82"/>
      <c r="AF46" s="82"/>
      <c r="AG46" s="82"/>
      <c r="AH46" s="82"/>
      <c r="AI46" s="82"/>
      <c r="AJ46" s="82"/>
      <c r="AK46" s="82"/>
      <c r="AL46" s="82"/>
      <c r="AM46" s="83"/>
      <c r="AN46" s="83"/>
      <c r="AO46" s="84" t="str">
        <f t="shared" si="10"/>
        <v>لا</v>
      </c>
      <c r="AP46" s="85" t="str">
        <f t="shared" si="11"/>
        <v/>
      </c>
      <c r="AQ46" s="84" t="str">
        <f t="shared" si="12"/>
        <v>لا</v>
      </c>
      <c r="AR46" s="85" t="str">
        <f t="shared" si="13"/>
        <v/>
      </c>
      <c r="AS46" s="86" t="str">
        <f t="shared" si="14"/>
        <v>لا</v>
      </c>
      <c r="AT46" s="87" t="str">
        <f t="shared" si="15"/>
        <v/>
      </c>
      <c r="AU46" s="88"/>
      <c r="AV46" s="89"/>
      <c r="AW46" s="90"/>
      <c r="AX46" s="91" cm="1">
        <f t="array" ref="AX46">IFERROR(_xlfn.IFS($AB46="عدد الموظفين/الوحدة",S46*$AA46,$AB46='طريقة الحساب'!$B$2,S46*$AA46/الافتراضات!$B$27,$AB46='طريقة الحساب'!$B$3,S46*$AA46/الافتراضات!$B$26,$AB46='طريقة الحساب'!$B$4,S46*$AA46/الافتراضات!$B$28),"")</f>
        <v>0.60546079059207081</v>
      </c>
      <c r="AY46" s="91" cm="1">
        <f t="array" ref="AY46">IFERROR(_xlfn.IFS($AB46="عدد الموظفين/الوحدة",T46*$AA46,$AB46='طريقة الحساب'!$B$2,T46*$AA46/الافتراضات!$B$27,$AB46='طريقة الحساب'!$B$3,T46*$AA46/الافتراضات!$B$26,$AB46='طريقة الحساب'!$B$4,T46*$AA46/الافتراضات!$B$28),"")</f>
        <v>0.62227914588629496</v>
      </c>
      <c r="AZ46" s="91" cm="1">
        <f t="array" ref="AZ46">IFERROR(_xlfn.IFS($AB46="عدد الموظفين/الوحدة",U46*$AA46,$AB46='طريقة الحساب'!$B$2,U46*$AA46/الافتراضات!$B$27,$AB46='طريقة الحساب'!$B$3,U46*$AA46/الافتراضات!$B$26,$AB46='طريقة الحساب'!$B$4,U46*$AA46/الافتراضات!$B$28),"")</f>
        <v>0.63909750118051911</v>
      </c>
      <c r="BA46" s="91" cm="1">
        <f t="array" ref="BA46">IFERROR(_xlfn.IFS($AB46="عدد الموظفين/الوحدة",V46*$AA46,$AB46='طريقة الحساب'!$B$2,V46*$AA46/الافتراضات!$B$27,$AB46='طريقة الحساب'!$B$3,V46*$AA46/الافتراضات!$B$26,$AB46='طريقة الحساب'!$B$4,V46*$AA46/الافتراضات!$B$28),"")</f>
        <v>0.65591585647474338</v>
      </c>
      <c r="BB46" s="91" cm="1">
        <f t="array" ref="BB46">IFERROR(_xlfn.IFS($AB46="عدد الموظفين/الوحدة",W46*$AA46,$AB46='طريقة الحساب'!$B$2,W46*$AA46/الافتراضات!$B$27,$AB46='طريقة الحساب'!$B$3,W46*$AA46/الافتراضات!$B$26,$AB46='طريقة الحساب'!$B$4,W46*$AA46/الافتراضات!$B$28),"")</f>
        <v>0.67273421176896753</v>
      </c>
      <c r="BC46" s="91" cm="1">
        <f t="array" ref="BC46">IFERROR(_xlfn.IFS($AB46="عدد الموظفين/الوحدة",X46*$AA46,$AB46='طريقة الحساب'!$B$2,X46*$AA46/الافتراضات!$B$27,$AB46='طريقة الحساب'!$B$3,X46*$AA46/الافتراضات!$B$26,$AB46='طريقة الحساب'!$B$4,X46*$AA46/الافتراضات!$B$28),"")</f>
        <v>0.68955256706319168</v>
      </c>
      <c r="BD46" s="91" cm="1">
        <f t="array" ref="BD46">IFERROR(_xlfn.IFS($AB46="عدد الموظفين/الوحدة",Y46*$AA46,$AB46='طريقة الحساب'!$B$2,Y46*$AA46/الافتراضات!$B$27,$AB46='طريقة الحساب'!$B$3,Y46*$AA46/الافتراضات!$B$26,$AB46='طريقة الحساب'!$B$4,Y46*$AA46/الافتراضات!$B$28),"")</f>
        <v>0.68955256706319168</v>
      </c>
      <c r="BE46" s="91" cm="1">
        <f t="array" ref="BE46">IFERROR(_xlfn.IFS($AB46="عدد الموظفين/الوحدة",Z46*$AA46,$AB46='طريقة الحساب'!$B$2,Z46*$AA46/الافتراضات!$B$27,$AB46='طريقة الحساب'!$B$3,Z46*$AA46/الافتراضات!$B$26,$AB46='طريقة الحساب'!$B$4,Z46*$AA46/الافتراضات!$B$28),"")</f>
        <v>0</v>
      </c>
      <c r="BF46" s="92"/>
    </row>
    <row r="47" spans="2:58" x14ac:dyDescent="0.35">
      <c r="B47" s="124" t="s">
        <v>87</v>
      </c>
      <c r="C47" s="131" t="s">
        <v>88</v>
      </c>
      <c r="D47" s="131" t="s">
        <v>90</v>
      </c>
      <c r="E47" s="138" t="s">
        <v>91</v>
      </c>
      <c r="F47" s="125" t="s">
        <v>129</v>
      </c>
      <c r="G47" s="126" t="s">
        <v>84</v>
      </c>
      <c r="H47" s="127"/>
      <c r="I47" s="132">
        <v>100</v>
      </c>
      <c r="J47" s="133">
        <v>110</v>
      </c>
      <c r="K47" s="133">
        <v>120</v>
      </c>
      <c r="L47" s="133">
        <v>130</v>
      </c>
      <c r="M47" s="133">
        <v>135</v>
      </c>
      <c r="N47" s="133">
        <v>140</v>
      </c>
      <c r="O47" s="133">
        <v>140</v>
      </c>
      <c r="P47" s="139">
        <v>2.5</v>
      </c>
      <c r="Q47" s="134" t="s">
        <v>32</v>
      </c>
      <c r="R47" s="128"/>
      <c r="S47" s="135">
        <v>100</v>
      </c>
      <c r="T47" s="135">
        <v>110</v>
      </c>
      <c r="U47" s="135">
        <v>120</v>
      </c>
      <c r="V47" s="135">
        <v>130</v>
      </c>
      <c r="W47" s="135">
        <v>135</v>
      </c>
      <c r="X47" s="135">
        <v>140</v>
      </c>
      <c r="Y47" s="135">
        <v>140</v>
      </c>
      <c r="Z47" s="79"/>
      <c r="AA47" s="135">
        <v>2.5</v>
      </c>
      <c r="AB47" s="136" t="s">
        <v>32</v>
      </c>
      <c r="AC47" s="80"/>
      <c r="AD47" s="81"/>
      <c r="AE47" s="82"/>
      <c r="AF47" s="82"/>
      <c r="AG47" s="82"/>
      <c r="AH47" s="82"/>
      <c r="AI47" s="82"/>
      <c r="AJ47" s="82"/>
      <c r="AK47" s="82"/>
      <c r="AL47" s="82"/>
      <c r="AM47" s="83"/>
      <c r="AN47" s="83"/>
      <c r="AO47" s="84" t="str">
        <f t="shared" si="10"/>
        <v>لا</v>
      </c>
      <c r="AP47" s="85" t="str">
        <f t="shared" si="11"/>
        <v/>
      </c>
      <c r="AQ47" s="84" t="str">
        <f t="shared" si="12"/>
        <v>لا</v>
      </c>
      <c r="AR47" s="85" t="str">
        <f t="shared" si="13"/>
        <v/>
      </c>
      <c r="AS47" s="86" t="str">
        <f t="shared" si="14"/>
        <v>لا</v>
      </c>
      <c r="AT47" s="87" t="str">
        <f t="shared" si="15"/>
        <v/>
      </c>
      <c r="AU47" s="88"/>
      <c r="AV47" s="89"/>
      <c r="AW47" s="90"/>
      <c r="AX47" s="91" cm="1">
        <f t="array" ref="AX47">IFERROR(_xlfn.IFS($AB47="عدد الموظفين/الوحدة",S47*$AA47,$AB47='طريقة الحساب'!$B$2,S47*$AA47/الافتراضات!$B$27,$AB47='طريقة الحساب'!$B$3,S47*$AA47/الافتراضات!$B$26,$AB47='طريقة الحساب'!$B$4,S47*$AA47/الافتراضات!$B$28),"")</f>
        <v>0.25227532941336284</v>
      </c>
      <c r="AY47" s="91" cm="1">
        <f t="array" ref="AY47">IFERROR(_xlfn.IFS($AB47="عدد الموظفين/الوحدة",T47*$AA47,$AB47='طريقة الحساب'!$B$2,T47*$AA47/الافتراضات!$B$27,$AB47='طريقة الحساب'!$B$3,T47*$AA47/الافتراضات!$B$26,$AB47='طريقة الحساب'!$B$4,T47*$AA47/الافتراضات!$B$28),"")</f>
        <v>0.27750286235469912</v>
      </c>
      <c r="AZ47" s="91" cm="1">
        <f t="array" ref="AZ47">IFERROR(_xlfn.IFS($AB47="عدد الموظفين/الوحدة",U47*$AA47,$AB47='طريقة الحساب'!$B$2,U47*$AA47/الافتراضات!$B$27,$AB47='طريقة الحساب'!$B$3,U47*$AA47/الافتراضات!$B$26,$AB47='طريقة الحساب'!$B$4,U47*$AA47/الافتراضات!$B$28),"")</f>
        <v>0.3027303952960354</v>
      </c>
      <c r="BA47" s="91" cm="1">
        <f t="array" ref="BA47">IFERROR(_xlfn.IFS($AB47="عدد الموظفين/الوحدة",V47*$AA47,$AB47='طريقة الحساب'!$B$2,V47*$AA47/الافتراضات!$B$27,$AB47='طريقة الحساب'!$B$3,V47*$AA47/الافتراضات!$B$26,$AB47='طريقة الحساب'!$B$4,V47*$AA47/الافتراضات!$B$28),"")</f>
        <v>0.32795792823737169</v>
      </c>
      <c r="BB47" s="91" cm="1">
        <f t="array" ref="BB47">IFERROR(_xlfn.IFS($AB47="عدد الموظفين/الوحدة",W47*$AA47,$AB47='طريقة الحساب'!$B$2,W47*$AA47/الافتراضات!$B$27,$AB47='طريقة الحساب'!$B$3,W47*$AA47/الافتراضات!$B$26,$AB47='طريقة الحساب'!$B$4,W47*$AA47/الافتراضات!$B$28),"")</f>
        <v>0.34057169470803983</v>
      </c>
      <c r="BC47" s="91" cm="1">
        <f t="array" ref="BC47">IFERROR(_xlfn.IFS($AB47="عدد الموظفين/الوحدة",X47*$AA47,$AB47='طريقة الحساب'!$B$2,X47*$AA47/الافتراضات!$B$27,$AB47='طريقة الحساب'!$B$3,X47*$AA47/الافتراضات!$B$26,$AB47='طريقة الحساب'!$B$4,X47*$AA47/الافتراضات!$B$28),"")</f>
        <v>0.35318546117870797</v>
      </c>
      <c r="BD47" s="91" cm="1">
        <f t="array" ref="BD47">IFERROR(_xlfn.IFS($AB47="عدد الموظفين/الوحدة",Y47*$AA47,$AB47='طريقة الحساب'!$B$2,Y47*$AA47/الافتراضات!$B$27,$AB47='طريقة الحساب'!$B$3,Y47*$AA47/الافتراضات!$B$26,$AB47='طريقة الحساب'!$B$4,Y47*$AA47/الافتراضات!$B$28),"")</f>
        <v>0.35318546117870797</v>
      </c>
      <c r="BE47" s="91" cm="1">
        <f t="array" ref="BE47">IFERROR(_xlfn.IFS($AB47="عدد الموظفين/الوحدة",Z47*$AA47,$AB47='طريقة الحساب'!$B$2,Z47*$AA47/الافتراضات!$B$27,$AB47='طريقة الحساب'!$B$3,Z47*$AA47/الافتراضات!$B$26,$AB47='طريقة الحساب'!$B$4,Z47*$AA47/الافتراضات!$B$28),"")</f>
        <v>0</v>
      </c>
      <c r="BF47" s="92"/>
    </row>
    <row r="48" spans="2:58" x14ac:dyDescent="0.35">
      <c r="B48" s="124" t="s">
        <v>87</v>
      </c>
      <c r="C48" s="131" t="s">
        <v>88</v>
      </c>
      <c r="D48" s="131" t="s">
        <v>90</v>
      </c>
      <c r="E48" s="138" t="s">
        <v>91</v>
      </c>
      <c r="F48" s="125" t="s">
        <v>130</v>
      </c>
      <c r="G48" s="126" t="s">
        <v>84</v>
      </c>
      <c r="H48" s="127"/>
      <c r="I48" s="132">
        <v>70</v>
      </c>
      <c r="J48" s="133">
        <v>70</v>
      </c>
      <c r="K48" s="133">
        <v>75</v>
      </c>
      <c r="L48" s="133">
        <v>75</v>
      </c>
      <c r="M48" s="133">
        <v>80</v>
      </c>
      <c r="N48" s="133">
        <v>85</v>
      </c>
      <c r="O48" s="133">
        <v>85</v>
      </c>
      <c r="P48" s="139">
        <v>4</v>
      </c>
      <c r="Q48" s="134" t="s">
        <v>32</v>
      </c>
      <c r="R48" s="128"/>
      <c r="S48" s="135">
        <v>70</v>
      </c>
      <c r="T48" s="135">
        <v>70</v>
      </c>
      <c r="U48" s="135">
        <v>75</v>
      </c>
      <c r="V48" s="135">
        <v>75</v>
      </c>
      <c r="W48" s="135">
        <v>80</v>
      </c>
      <c r="X48" s="135">
        <v>85</v>
      </c>
      <c r="Y48" s="135">
        <v>85</v>
      </c>
      <c r="Z48" s="79"/>
      <c r="AA48" s="135">
        <v>4</v>
      </c>
      <c r="AB48" s="136" t="s">
        <v>32</v>
      </c>
      <c r="AC48" s="80"/>
      <c r="AD48" s="81"/>
      <c r="AE48" s="82"/>
      <c r="AF48" s="82"/>
      <c r="AG48" s="82"/>
      <c r="AH48" s="82"/>
      <c r="AI48" s="82"/>
      <c r="AJ48" s="82"/>
      <c r="AK48" s="82"/>
      <c r="AL48" s="82"/>
      <c r="AM48" s="83"/>
      <c r="AN48" s="83"/>
      <c r="AO48" s="84" t="str">
        <f t="shared" si="10"/>
        <v>لا</v>
      </c>
      <c r="AP48" s="85" t="str">
        <f t="shared" si="11"/>
        <v/>
      </c>
      <c r="AQ48" s="84" t="str">
        <f t="shared" si="12"/>
        <v>لا</v>
      </c>
      <c r="AR48" s="85" t="str">
        <f t="shared" si="13"/>
        <v/>
      </c>
      <c r="AS48" s="86" t="str">
        <f t="shared" si="14"/>
        <v>لا</v>
      </c>
      <c r="AT48" s="87" t="str">
        <f t="shared" si="15"/>
        <v/>
      </c>
      <c r="AU48" s="88"/>
      <c r="AV48" s="89"/>
      <c r="AW48" s="90"/>
      <c r="AX48" s="91" cm="1">
        <f t="array" ref="AX48">IFERROR(_xlfn.IFS($AB48="عدد الموظفين/الوحدة",S48*$AA48,$AB48='طريقة الحساب'!$B$2,S48*$AA48/الافتراضات!$B$27,$AB48='طريقة الحساب'!$B$3,S48*$AA48/الافتراضات!$B$26,$AB48='طريقة الحساب'!$B$4,S48*$AA48/الافتراضات!$B$28),"")</f>
        <v>0.28254836894296637</v>
      </c>
      <c r="AY48" s="91" cm="1">
        <f t="array" ref="AY48">IFERROR(_xlfn.IFS($AB48="عدد الموظفين/الوحدة",T48*$AA48,$AB48='طريقة الحساب'!$B$2,T48*$AA48/الافتراضات!$B$27,$AB48='طريقة الحساب'!$B$3,T48*$AA48/الافتراضات!$B$26,$AB48='طريقة الحساب'!$B$4,T48*$AA48/الافتراضات!$B$28),"")</f>
        <v>0.28254836894296637</v>
      </c>
      <c r="AZ48" s="91" cm="1">
        <f t="array" ref="AZ48">IFERROR(_xlfn.IFS($AB48="عدد الموظفين/الوحدة",U48*$AA48,$AB48='طريقة الحساب'!$B$2,U48*$AA48/الافتراضات!$B$27,$AB48='طريقة الحساب'!$B$3,U48*$AA48/الافتراضات!$B$26,$AB48='طريقة الحساب'!$B$4,U48*$AA48/الافتراضات!$B$28),"")</f>
        <v>0.3027303952960354</v>
      </c>
      <c r="BA48" s="91" cm="1">
        <f t="array" ref="BA48">IFERROR(_xlfn.IFS($AB48="عدد الموظفين/الوحدة",V48*$AA48,$AB48='طريقة الحساب'!$B$2,V48*$AA48/الافتراضات!$B$27,$AB48='طريقة الحساب'!$B$3,V48*$AA48/الافتراضات!$B$26,$AB48='طريقة الحساب'!$B$4,V48*$AA48/الافتراضات!$B$28),"")</f>
        <v>0.3027303952960354</v>
      </c>
      <c r="BB48" s="91" cm="1">
        <f t="array" ref="BB48">IFERROR(_xlfn.IFS($AB48="عدد الموظفين/الوحدة",W48*$AA48,$AB48='طريقة الحساب'!$B$2,W48*$AA48/الافتراضات!$B$27,$AB48='طريقة الحساب'!$B$3,W48*$AA48/الافتراضات!$B$26,$AB48='طريقة الحساب'!$B$4,W48*$AA48/الافتراضات!$B$28),"")</f>
        <v>0.32291242164910439</v>
      </c>
      <c r="BC48" s="91" cm="1">
        <f t="array" ref="BC48">IFERROR(_xlfn.IFS($AB48="عدد الموظفين/الوحدة",X48*$AA48,$AB48='طريقة الحساب'!$B$2,X48*$AA48/الافتراضات!$B$27,$AB48='طريقة الحساب'!$B$3,X48*$AA48/الافتراضات!$B$26,$AB48='طريقة الحساب'!$B$4,X48*$AA48/الافتراضات!$B$28),"")</f>
        <v>0.34309444800217342</v>
      </c>
      <c r="BD48" s="91" cm="1">
        <f t="array" ref="BD48">IFERROR(_xlfn.IFS($AB48="عدد الموظفين/الوحدة",Y48*$AA48,$AB48='طريقة الحساب'!$B$2,Y48*$AA48/الافتراضات!$B$27,$AB48='طريقة الحساب'!$B$3,Y48*$AA48/الافتراضات!$B$26,$AB48='طريقة الحساب'!$B$4,Y48*$AA48/الافتراضات!$B$28),"")</f>
        <v>0.34309444800217342</v>
      </c>
      <c r="BE48" s="91" cm="1">
        <f t="array" ref="BE48">IFERROR(_xlfn.IFS($AB48="عدد الموظفين/الوحدة",Z48*$AA48,$AB48='طريقة الحساب'!$B$2,Z48*$AA48/الافتراضات!$B$27,$AB48='طريقة الحساب'!$B$3,Z48*$AA48/الافتراضات!$B$26,$AB48='طريقة الحساب'!$B$4,Z48*$AA48/الافتراضات!$B$28),"")</f>
        <v>0</v>
      </c>
      <c r="BF48" s="92"/>
    </row>
    <row r="49" spans="2:58" x14ac:dyDescent="0.35">
      <c r="B49" s="124" t="s">
        <v>87</v>
      </c>
      <c r="C49" s="131" t="s">
        <v>88</v>
      </c>
      <c r="D49" s="131" t="s">
        <v>90</v>
      </c>
      <c r="E49" s="138" t="s">
        <v>91</v>
      </c>
      <c r="F49" s="125" t="s">
        <v>131</v>
      </c>
      <c r="G49" s="126" t="s">
        <v>84</v>
      </c>
      <c r="H49" s="127"/>
      <c r="I49" s="132"/>
      <c r="J49" s="133"/>
      <c r="K49" s="133"/>
      <c r="L49" s="133"/>
      <c r="M49" s="133"/>
      <c r="N49" s="133"/>
      <c r="O49" s="133"/>
      <c r="P49" s="139"/>
      <c r="Q49" s="134" t="s">
        <v>32</v>
      </c>
      <c r="R49" s="128"/>
      <c r="S49" s="164"/>
      <c r="T49" s="164"/>
      <c r="U49" s="164"/>
      <c r="V49" s="164"/>
      <c r="W49" s="164"/>
      <c r="X49" s="164"/>
      <c r="Y49" s="164"/>
      <c r="Z49" s="79"/>
      <c r="AA49" s="164"/>
      <c r="AB49" s="136" t="s">
        <v>32</v>
      </c>
      <c r="AC49" s="80"/>
      <c r="AD49" s="81"/>
      <c r="AE49" s="82"/>
      <c r="AF49" s="82"/>
      <c r="AG49" s="82"/>
      <c r="AH49" s="82"/>
      <c r="AI49" s="82"/>
      <c r="AJ49" s="82"/>
      <c r="AK49" s="82"/>
      <c r="AL49" s="82"/>
      <c r="AM49" s="83"/>
      <c r="AN49" s="83"/>
      <c r="AO49" s="84" t="str">
        <f t="shared" si="10"/>
        <v/>
      </c>
      <c r="AP49" s="85" t="str">
        <f t="shared" si="11"/>
        <v/>
      </c>
      <c r="AQ49" s="84" t="str">
        <f t="shared" si="12"/>
        <v/>
      </c>
      <c r="AR49" s="85" t="str">
        <f t="shared" si="13"/>
        <v/>
      </c>
      <c r="AS49" s="86" t="str">
        <f t="shared" si="14"/>
        <v>لا</v>
      </c>
      <c r="AT49" s="87" t="str">
        <f t="shared" si="15"/>
        <v/>
      </c>
      <c r="AU49" s="88"/>
      <c r="AV49" s="89"/>
      <c r="AW49" s="90"/>
      <c r="AX49" s="91" cm="1">
        <f t="array" ref="AX49">IFERROR(_xlfn.IFS($AB49="عدد الموظفين/الوحدة",S49*$AA49,$AB49='طريقة الحساب'!$B$2,S49*$AA49/الافتراضات!$B$27,$AB49='طريقة الحساب'!$B$3,S49*$AA49/الافتراضات!$B$26,$AB49='طريقة الحساب'!$B$4,S49*$AA49/الافتراضات!$B$28),"")</f>
        <v>0</v>
      </c>
      <c r="AY49" s="91" cm="1">
        <f t="array" ref="AY49">IFERROR(_xlfn.IFS($AB49="عدد الموظفين/الوحدة",T49*$AA49,$AB49='طريقة الحساب'!$B$2,T49*$AA49/الافتراضات!$B$27,$AB49='طريقة الحساب'!$B$3,T49*$AA49/الافتراضات!$B$26,$AB49='طريقة الحساب'!$B$4,T49*$AA49/الافتراضات!$B$28),"")</f>
        <v>0</v>
      </c>
      <c r="AZ49" s="91" cm="1">
        <f t="array" ref="AZ49">IFERROR(_xlfn.IFS($AB49="عدد الموظفين/الوحدة",U49*$AA49,$AB49='طريقة الحساب'!$B$2,U49*$AA49/الافتراضات!$B$27,$AB49='طريقة الحساب'!$B$3,U49*$AA49/الافتراضات!$B$26,$AB49='طريقة الحساب'!$B$4,U49*$AA49/الافتراضات!$B$28),"")</f>
        <v>0</v>
      </c>
      <c r="BA49" s="91" cm="1">
        <f t="array" ref="BA49">IFERROR(_xlfn.IFS($AB49="عدد الموظفين/الوحدة",V49*$AA49,$AB49='طريقة الحساب'!$B$2,V49*$AA49/الافتراضات!$B$27,$AB49='طريقة الحساب'!$B$3,V49*$AA49/الافتراضات!$B$26,$AB49='طريقة الحساب'!$B$4,V49*$AA49/الافتراضات!$B$28),"")</f>
        <v>0</v>
      </c>
      <c r="BB49" s="91" cm="1">
        <f t="array" ref="BB49">IFERROR(_xlfn.IFS($AB49="عدد الموظفين/الوحدة",W49*$AA49,$AB49='طريقة الحساب'!$B$2,W49*$AA49/الافتراضات!$B$27,$AB49='طريقة الحساب'!$B$3,W49*$AA49/الافتراضات!$B$26,$AB49='طريقة الحساب'!$B$4,W49*$AA49/الافتراضات!$B$28),"")</f>
        <v>0</v>
      </c>
      <c r="BC49" s="91" cm="1">
        <f t="array" ref="BC49">IFERROR(_xlfn.IFS($AB49="عدد الموظفين/الوحدة",X49*$AA49,$AB49='طريقة الحساب'!$B$2,X49*$AA49/الافتراضات!$B$27,$AB49='طريقة الحساب'!$B$3,X49*$AA49/الافتراضات!$B$26,$AB49='طريقة الحساب'!$B$4,X49*$AA49/الافتراضات!$B$28),"")</f>
        <v>0</v>
      </c>
      <c r="BD49" s="91" cm="1">
        <f t="array" ref="BD49">IFERROR(_xlfn.IFS($AB49="عدد الموظفين/الوحدة",Y49*$AA49,$AB49='طريقة الحساب'!$B$2,Y49*$AA49/الافتراضات!$B$27,$AB49='طريقة الحساب'!$B$3,Y49*$AA49/الافتراضات!$B$26,$AB49='طريقة الحساب'!$B$4,Y49*$AA49/الافتراضات!$B$28),"")</f>
        <v>0</v>
      </c>
      <c r="BE49" s="91" cm="1">
        <f t="array" ref="BE49">IFERROR(_xlfn.IFS($AB49="عدد الموظفين/الوحدة",Z49*$AA49,$AB49='طريقة الحساب'!$B$2,Z49*$AA49/الافتراضات!$B$27,$AB49='طريقة الحساب'!$B$3,Z49*$AA49/الافتراضات!$B$26,$AB49='طريقة الحساب'!$B$4,Z49*$AA49/الافتراضات!$B$28),"")</f>
        <v>0</v>
      </c>
      <c r="BF49" s="92"/>
    </row>
    <row r="50" spans="2:58" x14ac:dyDescent="0.35">
      <c r="B50" s="124" t="s">
        <v>87</v>
      </c>
      <c r="C50" s="131" t="s">
        <v>88</v>
      </c>
      <c r="D50" s="131" t="s">
        <v>90</v>
      </c>
      <c r="E50" s="138" t="s">
        <v>91</v>
      </c>
      <c r="F50" s="125" t="s">
        <v>132</v>
      </c>
      <c r="G50" s="126" t="s">
        <v>84</v>
      </c>
      <c r="H50" s="127"/>
      <c r="I50" s="132"/>
      <c r="J50" s="133"/>
      <c r="K50" s="133"/>
      <c r="L50" s="133"/>
      <c r="M50" s="133"/>
      <c r="N50" s="133"/>
      <c r="O50" s="133"/>
      <c r="P50" s="139"/>
      <c r="Q50" s="134" t="s">
        <v>32</v>
      </c>
      <c r="R50" s="128"/>
      <c r="S50" s="164"/>
      <c r="T50" s="164"/>
      <c r="U50" s="164"/>
      <c r="V50" s="164"/>
      <c r="W50" s="164"/>
      <c r="X50" s="164"/>
      <c r="Y50" s="164"/>
      <c r="Z50" s="79"/>
      <c r="AA50" s="164"/>
      <c r="AB50" s="136" t="s">
        <v>32</v>
      </c>
      <c r="AC50" s="80"/>
      <c r="AD50" s="81"/>
      <c r="AE50" s="82"/>
      <c r="AF50" s="82"/>
      <c r="AG50" s="82"/>
      <c r="AH50" s="82"/>
      <c r="AI50" s="82"/>
      <c r="AJ50" s="82"/>
      <c r="AK50" s="82"/>
      <c r="AL50" s="82"/>
      <c r="AM50" s="83"/>
      <c r="AN50" s="83"/>
      <c r="AO50" s="84" t="str">
        <f t="shared" si="10"/>
        <v/>
      </c>
      <c r="AP50" s="85" t="str">
        <f t="shared" si="11"/>
        <v/>
      </c>
      <c r="AQ50" s="84" t="str">
        <f t="shared" si="12"/>
        <v/>
      </c>
      <c r="AR50" s="85" t="str">
        <f t="shared" si="13"/>
        <v/>
      </c>
      <c r="AS50" s="86" t="str">
        <f t="shared" si="14"/>
        <v>لا</v>
      </c>
      <c r="AT50" s="87" t="str">
        <f t="shared" si="15"/>
        <v/>
      </c>
      <c r="AU50" s="88"/>
      <c r="AV50" s="89"/>
      <c r="AW50" s="90"/>
      <c r="AX50" s="91" cm="1">
        <f t="array" ref="AX50">IFERROR(_xlfn.IFS($AB50="عدد الموظفين/الوحدة",S50*$AA50,$AB50='طريقة الحساب'!$B$2,S50*$AA50/الافتراضات!$B$27,$AB50='طريقة الحساب'!$B$3,S50*$AA50/الافتراضات!$B$26,$AB50='طريقة الحساب'!$B$4,S50*$AA50/الافتراضات!$B$28),"")</f>
        <v>0</v>
      </c>
      <c r="AY50" s="91" cm="1">
        <f t="array" ref="AY50">IFERROR(_xlfn.IFS($AB50="عدد الموظفين/الوحدة",T50*$AA50,$AB50='طريقة الحساب'!$B$2,T50*$AA50/الافتراضات!$B$27,$AB50='طريقة الحساب'!$B$3,T50*$AA50/الافتراضات!$B$26,$AB50='طريقة الحساب'!$B$4,T50*$AA50/الافتراضات!$B$28),"")</f>
        <v>0</v>
      </c>
      <c r="AZ50" s="91" cm="1">
        <f t="array" ref="AZ50">IFERROR(_xlfn.IFS($AB50="عدد الموظفين/الوحدة",U50*$AA50,$AB50='طريقة الحساب'!$B$2,U50*$AA50/الافتراضات!$B$27,$AB50='طريقة الحساب'!$B$3,U50*$AA50/الافتراضات!$B$26,$AB50='طريقة الحساب'!$B$4,U50*$AA50/الافتراضات!$B$28),"")</f>
        <v>0</v>
      </c>
      <c r="BA50" s="91" cm="1">
        <f t="array" ref="BA50">IFERROR(_xlfn.IFS($AB50="عدد الموظفين/الوحدة",V50*$AA50,$AB50='طريقة الحساب'!$B$2,V50*$AA50/الافتراضات!$B$27,$AB50='طريقة الحساب'!$B$3,V50*$AA50/الافتراضات!$B$26,$AB50='طريقة الحساب'!$B$4,V50*$AA50/الافتراضات!$B$28),"")</f>
        <v>0</v>
      </c>
      <c r="BB50" s="91" cm="1">
        <f t="array" ref="BB50">IFERROR(_xlfn.IFS($AB50="عدد الموظفين/الوحدة",W50*$AA50,$AB50='طريقة الحساب'!$B$2,W50*$AA50/الافتراضات!$B$27,$AB50='طريقة الحساب'!$B$3,W50*$AA50/الافتراضات!$B$26,$AB50='طريقة الحساب'!$B$4,W50*$AA50/الافتراضات!$B$28),"")</f>
        <v>0</v>
      </c>
      <c r="BC50" s="91" cm="1">
        <f t="array" ref="BC50">IFERROR(_xlfn.IFS($AB50="عدد الموظفين/الوحدة",X50*$AA50,$AB50='طريقة الحساب'!$B$2,X50*$AA50/الافتراضات!$B$27,$AB50='طريقة الحساب'!$B$3,X50*$AA50/الافتراضات!$B$26,$AB50='طريقة الحساب'!$B$4,X50*$AA50/الافتراضات!$B$28),"")</f>
        <v>0</v>
      </c>
      <c r="BD50" s="91" cm="1">
        <f t="array" ref="BD50">IFERROR(_xlfn.IFS($AB50="عدد الموظفين/الوحدة",Y50*$AA50,$AB50='طريقة الحساب'!$B$2,Y50*$AA50/الافتراضات!$B$27,$AB50='طريقة الحساب'!$B$3,Y50*$AA50/الافتراضات!$B$26,$AB50='طريقة الحساب'!$B$4,Y50*$AA50/الافتراضات!$B$28),"")</f>
        <v>0</v>
      </c>
      <c r="BE50" s="91" cm="1">
        <f t="array" ref="BE50">IFERROR(_xlfn.IFS($AB50="عدد الموظفين/الوحدة",Z50*$AA50,$AB50='طريقة الحساب'!$B$2,Z50*$AA50/الافتراضات!$B$27,$AB50='طريقة الحساب'!$B$3,Z50*$AA50/الافتراضات!$B$26,$AB50='طريقة الحساب'!$B$4,Z50*$AA50/الافتراضات!$B$28),"")</f>
        <v>0</v>
      </c>
      <c r="BF50" s="92"/>
    </row>
    <row r="51" spans="2:58" x14ac:dyDescent="0.35">
      <c r="B51" s="124" t="s">
        <v>87</v>
      </c>
      <c r="C51" s="131" t="s">
        <v>88</v>
      </c>
      <c r="D51" s="131" t="s">
        <v>90</v>
      </c>
      <c r="E51" s="138" t="s">
        <v>91</v>
      </c>
      <c r="F51" s="125" t="s">
        <v>133</v>
      </c>
      <c r="G51" s="126" t="s">
        <v>84</v>
      </c>
      <c r="H51" s="127"/>
      <c r="I51" s="132">
        <v>90</v>
      </c>
      <c r="J51" s="133">
        <v>95</v>
      </c>
      <c r="K51" s="133">
        <v>95</v>
      </c>
      <c r="L51" s="133">
        <v>100</v>
      </c>
      <c r="M51" s="133">
        <v>100</v>
      </c>
      <c r="N51" s="133">
        <v>100</v>
      </c>
      <c r="O51" s="133">
        <v>100</v>
      </c>
      <c r="P51" s="139">
        <v>2</v>
      </c>
      <c r="Q51" s="134" t="s">
        <v>32</v>
      </c>
      <c r="R51" s="128"/>
      <c r="S51" s="135">
        <v>90</v>
      </c>
      <c r="T51" s="135">
        <v>95</v>
      </c>
      <c r="U51" s="135">
        <v>95</v>
      </c>
      <c r="V51" s="135">
        <v>100</v>
      </c>
      <c r="W51" s="135">
        <v>100</v>
      </c>
      <c r="X51" s="135">
        <v>100</v>
      </c>
      <c r="Y51" s="135">
        <v>100</v>
      </c>
      <c r="Z51" s="79"/>
      <c r="AA51" s="135">
        <v>2</v>
      </c>
      <c r="AB51" s="136" t="s">
        <v>32</v>
      </c>
      <c r="AC51" s="80"/>
      <c r="AD51" s="81"/>
      <c r="AE51" s="82"/>
      <c r="AF51" s="82"/>
      <c r="AG51" s="82"/>
      <c r="AH51" s="82"/>
      <c r="AI51" s="82"/>
      <c r="AJ51" s="82"/>
      <c r="AK51" s="82"/>
      <c r="AL51" s="82"/>
      <c r="AM51" s="83"/>
      <c r="AN51" s="83"/>
      <c r="AO51" s="84" t="str">
        <f t="shared" si="10"/>
        <v>لا</v>
      </c>
      <c r="AP51" s="85" t="str">
        <f t="shared" si="11"/>
        <v/>
      </c>
      <c r="AQ51" s="84" t="str">
        <f t="shared" si="12"/>
        <v>لا</v>
      </c>
      <c r="AR51" s="85" t="str">
        <f t="shared" si="13"/>
        <v/>
      </c>
      <c r="AS51" s="86" t="str">
        <f t="shared" si="14"/>
        <v>لا</v>
      </c>
      <c r="AT51" s="87" t="str">
        <f t="shared" si="15"/>
        <v/>
      </c>
      <c r="AU51" s="88"/>
      <c r="AV51" s="89"/>
      <c r="AW51" s="90"/>
      <c r="AX51" s="91" cm="1">
        <f t="array" ref="AX51">IFERROR(_xlfn.IFS($AB51="عدد الموظفين/الوحدة",S51*$AA51,$AB51='طريقة الحساب'!$B$2,S51*$AA51/الافتراضات!$B$27,$AB51='طريقة الحساب'!$B$3,S51*$AA51/الافتراضات!$B$26,$AB51='طريقة الحساب'!$B$4,S51*$AA51/الافتراضات!$B$28),"")</f>
        <v>0.18163823717762123</v>
      </c>
      <c r="AY51" s="91" cm="1">
        <f t="array" ref="AY51">IFERROR(_xlfn.IFS($AB51="عدد الموظفين/الوحدة",T51*$AA51,$AB51='طريقة الحساب'!$B$2,T51*$AA51/الافتراضات!$B$27,$AB51='طريقة الحساب'!$B$3,T51*$AA51/الافتراضات!$B$26,$AB51='طريقة الحساب'!$B$4,T51*$AA51/الافتراضات!$B$28),"")</f>
        <v>0.19172925035415575</v>
      </c>
      <c r="AZ51" s="91" cm="1">
        <f t="array" ref="AZ51">IFERROR(_xlfn.IFS($AB51="عدد الموظفين/الوحدة",U51*$AA51,$AB51='طريقة الحساب'!$B$2,U51*$AA51/الافتراضات!$B$27,$AB51='طريقة الحساب'!$B$3,U51*$AA51/الافتراضات!$B$26,$AB51='طريقة الحساب'!$B$4,U51*$AA51/الافتراضات!$B$28),"")</f>
        <v>0.19172925035415575</v>
      </c>
      <c r="BA51" s="91" cm="1">
        <f t="array" ref="BA51">IFERROR(_xlfn.IFS($AB51="عدد الموظفين/الوحدة",V51*$AA51,$AB51='طريقة الحساب'!$B$2,V51*$AA51/الافتراضات!$B$27,$AB51='طريقة الحساب'!$B$3,V51*$AA51/الافتراضات!$B$26,$AB51='طريقة الحساب'!$B$4,V51*$AA51/الافتراضات!$B$28),"")</f>
        <v>0.20182026353069024</v>
      </c>
      <c r="BB51" s="91" cm="1">
        <f t="array" ref="BB51">IFERROR(_xlfn.IFS($AB51="عدد الموظفين/الوحدة",W51*$AA51,$AB51='طريقة الحساب'!$B$2,W51*$AA51/الافتراضات!$B$27,$AB51='طريقة الحساب'!$B$3,W51*$AA51/الافتراضات!$B$26,$AB51='طريقة الحساب'!$B$4,W51*$AA51/الافتراضات!$B$28),"")</f>
        <v>0.20182026353069024</v>
      </c>
      <c r="BC51" s="91" cm="1">
        <f t="array" ref="BC51">IFERROR(_xlfn.IFS($AB51="عدد الموظفين/الوحدة",X51*$AA51,$AB51='طريقة الحساب'!$B$2,X51*$AA51/الافتراضات!$B$27,$AB51='طريقة الحساب'!$B$3,X51*$AA51/الافتراضات!$B$26,$AB51='طريقة الحساب'!$B$4,X51*$AA51/الافتراضات!$B$28),"")</f>
        <v>0.20182026353069024</v>
      </c>
      <c r="BD51" s="91" cm="1">
        <f t="array" ref="BD51">IFERROR(_xlfn.IFS($AB51="عدد الموظفين/الوحدة",Y51*$AA51,$AB51='طريقة الحساب'!$B$2,Y51*$AA51/الافتراضات!$B$27,$AB51='طريقة الحساب'!$B$3,Y51*$AA51/الافتراضات!$B$26,$AB51='طريقة الحساب'!$B$4,Y51*$AA51/الافتراضات!$B$28),"")</f>
        <v>0.20182026353069024</v>
      </c>
      <c r="BE51" s="91" cm="1">
        <f t="array" ref="BE51">IFERROR(_xlfn.IFS($AB51="عدد الموظفين/الوحدة",Z51*$AA51,$AB51='طريقة الحساب'!$B$2,Z51*$AA51/الافتراضات!$B$27,$AB51='طريقة الحساب'!$B$3,Z51*$AA51/الافتراضات!$B$26,$AB51='طريقة الحساب'!$B$4,Z51*$AA51/الافتراضات!$B$28),"")</f>
        <v>0</v>
      </c>
      <c r="BF51" s="92"/>
    </row>
    <row r="52" spans="2:58" x14ac:dyDescent="0.35">
      <c r="B52" s="124" t="s">
        <v>87</v>
      </c>
      <c r="C52" s="131" t="s">
        <v>88</v>
      </c>
      <c r="D52" s="131" t="s">
        <v>90</v>
      </c>
      <c r="E52" s="138" t="s">
        <v>91</v>
      </c>
      <c r="F52" s="125" t="s">
        <v>134</v>
      </c>
      <c r="G52" s="126" t="s">
        <v>84</v>
      </c>
      <c r="H52" s="127"/>
      <c r="I52" s="132">
        <v>250</v>
      </c>
      <c r="J52" s="133">
        <v>260</v>
      </c>
      <c r="K52" s="133">
        <v>260</v>
      </c>
      <c r="L52" s="133">
        <v>260</v>
      </c>
      <c r="M52" s="133">
        <v>260</v>
      </c>
      <c r="N52" s="133">
        <v>260</v>
      </c>
      <c r="O52" s="133">
        <v>260</v>
      </c>
      <c r="P52" s="139">
        <v>45</v>
      </c>
      <c r="Q52" s="134" t="s">
        <v>45</v>
      </c>
      <c r="R52" s="128"/>
      <c r="S52" s="135">
        <v>250</v>
      </c>
      <c r="T52" s="135">
        <v>260</v>
      </c>
      <c r="U52" s="135">
        <v>260</v>
      </c>
      <c r="V52" s="135">
        <v>260</v>
      </c>
      <c r="W52" s="135">
        <v>260</v>
      </c>
      <c r="X52" s="135">
        <v>260</v>
      </c>
      <c r="Y52" s="135">
        <v>260</v>
      </c>
      <c r="Z52" s="79"/>
      <c r="AA52" s="135">
        <v>45</v>
      </c>
      <c r="AB52" s="136" t="s">
        <v>45</v>
      </c>
      <c r="AC52" s="80"/>
      <c r="AD52" s="81"/>
      <c r="AE52" s="82"/>
      <c r="AF52" s="82"/>
      <c r="AG52" s="82"/>
      <c r="AH52" s="82"/>
      <c r="AI52" s="82"/>
      <c r="AJ52" s="82"/>
      <c r="AK52" s="82"/>
      <c r="AL52" s="82"/>
      <c r="AM52" s="83"/>
      <c r="AN52" s="83"/>
      <c r="AO52" s="84" t="str">
        <f t="shared" si="10"/>
        <v>لا</v>
      </c>
      <c r="AP52" s="85" t="str">
        <f t="shared" si="11"/>
        <v/>
      </c>
      <c r="AQ52" s="84" t="str">
        <f t="shared" si="12"/>
        <v>لا</v>
      </c>
      <c r="AR52" s="85" t="str">
        <f t="shared" si="13"/>
        <v/>
      </c>
      <c r="AS52" s="86" t="str">
        <f t="shared" si="14"/>
        <v>لا</v>
      </c>
      <c r="AT52" s="87" t="str">
        <f t="shared" si="15"/>
        <v/>
      </c>
      <c r="AU52" s="88"/>
      <c r="AV52" s="89"/>
      <c r="AW52" s="90"/>
      <c r="AX52" s="91" cm="1">
        <f t="array" ref="AX52">IFERROR(_xlfn.IFS($AB52="عدد الموظفين/الوحدة",S52*$AA52,$AB52='طريقة الحساب'!$B$2,S52*$AA52/الافتراضات!$B$27,$AB52='طريقة الحساب'!$B$3,S52*$AA52/الافتراضات!$B$26,$AB52='طريقة الحساب'!$B$4,S52*$AA52/الافتراضات!$B$28),"")</f>
        <v>0.18920649706002213</v>
      </c>
      <c r="AY52" s="91" cm="1">
        <f t="array" ref="AY52">IFERROR(_xlfn.IFS($AB52="عدد الموظفين/الوحدة",T52*$AA52,$AB52='طريقة الحساب'!$B$2,T52*$AA52/الافتراضات!$B$27,$AB52='طريقة الحساب'!$B$3,T52*$AA52/الافتراضات!$B$26,$AB52='طريقة الحساب'!$B$4,T52*$AA52/الافتراضات!$B$28),"")</f>
        <v>0.196774756942423</v>
      </c>
      <c r="AZ52" s="91" cm="1">
        <f t="array" ref="AZ52">IFERROR(_xlfn.IFS($AB52="عدد الموظفين/الوحدة",U52*$AA52,$AB52='طريقة الحساب'!$B$2,U52*$AA52/الافتراضات!$B$27,$AB52='طريقة الحساب'!$B$3,U52*$AA52/الافتراضات!$B$26,$AB52='طريقة الحساب'!$B$4,U52*$AA52/الافتراضات!$B$28),"")</f>
        <v>0.196774756942423</v>
      </c>
      <c r="BA52" s="91" cm="1">
        <f t="array" ref="BA52">IFERROR(_xlfn.IFS($AB52="عدد الموظفين/الوحدة",V52*$AA52,$AB52='طريقة الحساب'!$B$2,V52*$AA52/الافتراضات!$B$27,$AB52='طريقة الحساب'!$B$3,V52*$AA52/الافتراضات!$B$26,$AB52='طريقة الحساب'!$B$4,V52*$AA52/الافتراضات!$B$28),"")</f>
        <v>0.196774756942423</v>
      </c>
      <c r="BB52" s="91" cm="1">
        <f t="array" ref="BB52">IFERROR(_xlfn.IFS($AB52="عدد الموظفين/الوحدة",W52*$AA52,$AB52='طريقة الحساب'!$B$2,W52*$AA52/الافتراضات!$B$27,$AB52='طريقة الحساب'!$B$3,W52*$AA52/الافتراضات!$B$26,$AB52='طريقة الحساب'!$B$4,W52*$AA52/الافتراضات!$B$28),"")</f>
        <v>0.196774756942423</v>
      </c>
      <c r="BC52" s="91" cm="1">
        <f t="array" ref="BC52">IFERROR(_xlfn.IFS($AB52="عدد الموظفين/الوحدة",X52*$AA52,$AB52='طريقة الحساب'!$B$2,X52*$AA52/الافتراضات!$B$27,$AB52='طريقة الحساب'!$B$3,X52*$AA52/الافتراضات!$B$26,$AB52='طريقة الحساب'!$B$4,X52*$AA52/الافتراضات!$B$28),"")</f>
        <v>0.196774756942423</v>
      </c>
      <c r="BD52" s="91" cm="1">
        <f t="array" ref="BD52">IFERROR(_xlfn.IFS($AB52="عدد الموظفين/الوحدة",Y52*$AA52,$AB52='طريقة الحساب'!$B$2,Y52*$AA52/الافتراضات!$B$27,$AB52='طريقة الحساب'!$B$3,Y52*$AA52/الافتراضات!$B$26,$AB52='طريقة الحساب'!$B$4,Y52*$AA52/الافتراضات!$B$28),"")</f>
        <v>0.196774756942423</v>
      </c>
      <c r="BE52" s="91" cm="1">
        <f t="array" ref="BE52">IFERROR(_xlfn.IFS($AB52="عدد الموظفين/الوحدة",Z52*$AA52,$AB52='طريقة الحساب'!$B$2,Z52*$AA52/الافتراضات!$B$27,$AB52='طريقة الحساب'!$B$3,Z52*$AA52/الافتراضات!$B$26,$AB52='طريقة الحساب'!$B$4,Z52*$AA52/الافتراضات!$B$28),"")</f>
        <v>0</v>
      </c>
      <c r="BF52" s="92"/>
    </row>
    <row r="53" spans="2:58" x14ac:dyDescent="0.35">
      <c r="B53" s="124" t="s">
        <v>87</v>
      </c>
      <c r="C53" s="131" t="s">
        <v>88</v>
      </c>
      <c r="D53" s="131" t="s">
        <v>90</v>
      </c>
      <c r="E53" s="138" t="s">
        <v>91</v>
      </c>
      <c r="F53" s="125" t="s">
        <v>135</v>
      </c>
      <c r="G53" s="126" t="s">
        <v>84</v>
      </c>
      <c r="H53" s="127"/>
      <c r="I53" s="132">
        <v>12</v>
      </c>
      <c r="J53" s="133">
        <v>12</v>
      </c>
      <c r="K53" s="133">
        <v>12</v>
      </c>
      <c r="L53" s="133">
        <v>12</v>
      </c>
      <c r="M53" s="133">
        <v>12</v>
      </c>
      <c r="N53" s="133">
        <v>12</v>
      </c>
      <c r="O53" s="133">
        <v>12</v>
      </c>
      <c r="P53" s="139">
        <v>30</v>
      </c>
      <c r="Q53" s="134" t="s">
        <v>45</v>
      </c>
      <c r="R53" s="128"/>
      <c r="S53" s="135">
        <v>12</v>
      </c>
      <c r="T53" s="135">
        <v>12</v>
      </c>
      <c r="U53" s="135">
        <v>12</v>
      </c>
      <c r="V53" s="135">
        <v>12</v>
      </c>
      <c r="W53" s="135">
        <v>12</v>
      </c>
      <c r="X53" s="135">
        <v>12</v>
      </c>
      <c r="Y53" s="135">
        <v>12</v>
      </c>
      <c r="Z53" s="79"/>
      <c r="AA53" s="135">
        <v>30</v>
      </c>
      <c r="AB53" s="136" t="s">
        <v>45</v>
      </c>
      <c r="AC53" s="80"/>
      <c r="AD53" s="81"/>
      <c r="AE53" s="82"/>
      <c r="AF53" s="82"/>
      <c r="AG53" s="82"/>
      <c r="AH53" s="82"/>
      <c r="AI53" s="82"/>
      <c r="AJ53" s="82"/>
      <c r="AK53" s="82"/>
      <c r="AL53" s="82"/>
      <c r="AM53" s="83"/>
      <c r="AN53" s="83"/>
      <c r="AO53" s="84" t="str">
        <f t="shared" si="10"/>
        <v>لا</v>
      </c>
      <c r="AP53" s="85" t="str">
        <f t="shared" si="11"/>
        <v/>
      </c>
      <c r="AQ53" s="84" t="str">
        <f t="shared" si="12"/>
        <v>لا</v>
      </c>
      <c r="AR53" s="85" t="str">
        <f t="shared" si="13"/>
        <v/>
      </c>
      <c r="AS53" s="86" t="str">
        <f t="shared" si="14"/>
        <v>لا</v>
      </c>
      <c r="AT53" s="87" t="str">
        <f t="shared" si="15"/>
        <v/>
      </c>
      <c r="AU53" s="88"/>
      <c r="AV53" s="89"/>
      <c r="AW53" s="90"/>
      <c r="AX53" s="91" cm="1">
        <f t="array" ref="AX53">IFERROR(_xlfn.IFS($AB53="عدد الموظفين/الوحدة",S53*$AA53,$AB53='طريقة الحساب'!$B$2,S53*$AA53/الافتراضات!$B$27,$AB53='طريقة الحساب'!$B$3,S53*$AA53/الافتراضات!$B$26,$AB53='طريقة الحساب'!$B$4,S53*$AA53/الافتراضات!$B$28),"")</f>
        <v>6.0546079059207074E-3</v>
      </c>
      <c r="AY53" s="91" cm="1">
        <f t="array" ref="AY53">IFERROR(_xlfn.IFS($AB53="عدد الموظفين/الوحدة",T53*$AA53,$AB53='طريقة الحساب'!$B$2,T53*$AA53/الافتراضات!$B$27,$AB53='طريقة الحساب'!$B$3,T53*$AA53/الافتراضات!$B$26,$AB53='طريقة الحساب'!$B$4,T53*$AA53/الافتراضات!$B$28),"")</f>
        <v>6.0546079059207074E-3</v>
      </c>
      <c r="AZ53" s="91" cm="1">
        <f t="array" ref="AZ53">IFERROR(_xlfn.IFS($AB53="عدد الموظفين/الوحدة",U53*$AA53,$AB53='طريقة الحساب'!$B$2,U53*$AA53/الافتراضات!$B$27,$AB53='طريقة الحساب'!$B$3,U53*$AA53/الافتراضات!$B$26,$AB53='طريقة الحساب'!$B$4,U53*$AA53/الافتراضات!$B$28),"")</f>
        <v>6.0546079059207074E-3</v>
      </c>
      <c r="BA53" s="91" cm="1">
        <f t="array" ref="BA53">IFERROR(_xlfn.IFS($AB53="عدد الموظفين/الوحدة",V53*$AA53,$AB53='طريقة الحساب'!$B$2,V53*$AA53/الافتراضات!$B$27,$AB53='طريقة الحساب'!$B$3,V53*$AA53/الافتراضات!$B$26,$AB53='طريقة الحساب'!$B$4,V53*$AA53/الافتراضات!$B$28),"")</f>
        <v>6.0546079059207074E-3</v>
      </c>
      <c r="BB53" s="91" cm="1">
        <f t="array" ref="BB53">IFERROR(_xlfn.IFS($AB53="عدد الموظفين/الوحدة",W53*$AA53,$AB53='طريقة الحساب'!$B$2,W53*$AA53/الافتراضات!$B$27,$AB53='طريقة الحساب'!$B$3,W53*$AA53/الافتراضات!$B$26,$AB53='طريقة الحساب'!$B$4,W53*$AA53/الافتراضات!$B$28),"")</f>
        <v>6.0546079059207074E-3</v>
      </c>
      <c r="BC53" s="91" cm="1">
        <f t="array" ref="BC53">IFERROR(_xlfn.IFS($AB53="عدد الموظفين/الوحدة",X53*$AA53,$AB53='طريقة الحساب'!$B$2,X53*$AA53/الافتراضات!$B$27,$AB53='طريقة الحساب'!$B$3,X53*$AA53/الافتراضات!$B$26,$AB53='طريقة الحساب'!$B$4,X53*$AA53/الافتراضات!$B$28),"")</f>
        <v>6.0546079059207074E-3</v>
      </c>
      <c r="BD53" s="91" cm="1">
        <f t="array" ref="BD53">IFERROR(_xlfn.IFS($AB53="عدد الموظفين/الوحدة",Y53*$AA53,$AB53='طريقة الحساب'!$B$2,Y53*$AA53/الافتراضات!$B$27,$AB53='طريقة الحساب'!$B$3,Y53*$AA53/الافتراضات!$B$26,$AB53='طريقة الحساب'!$B$4,Y53*$AA53/الافتراضات!$B$28),"")</f>
        <v>6.0546079059207074E-3</v>
      </c>
      <c r="BE53" s="91" cm="1">
        <f t="array" ref="BE53">IFERROR(_xlfn.IFS($AB53="عدد الموظفين/الوحدة",Z53*$AA53,$AB53='طريقة الحساب'!$B$2,Z53*$AA53/الافتراضات!$B$27,$AB53='طريقة الحساب'!$B$3,Z53*$AA53/الافتراضات!$B$26,$AB53='طريقة الحساب'!$B$4,Z53*$AA53/الافتراضات!$B$28),"")</f>
        <v>0</v>
      </c>
      <c r="BF53" s="92"/>
    </row>
    <row r="54" spans="2:58" x14ac:dyDescent="0.35">
      <c r="B54" s="124" t="s">
        <v>87</v>
      </c>
      <c r="C54" s="131" t="s">
        <v>88</v>
      </c>
      <c r="D54" s="131" t="s">
        <v>90</v>
      </c>
      <c r="E54" s="138" t="s">
        <v>91</v>
      </c>
      <c r="F54" s="125" t="s">
        <v>136</v>
      </c>
      <c r="G54" s="126" t="s">
        <v>84</v>
      </c>
      <c r="H54" s="127"/>
      <c r="I54" s="132">
        <v>12</v>
      </c>
      <c r="J54" s="133">
        <v>12</v>
      </c>
      <c r="K54" s="133">
        <v>12</v>
      </c>
      <c r="L54" s="133">
        <v>12</v>
      </c>
      <c r="M54" s="133">
        <v>12</v>
      </c>
      <c r="N54" s="133">
        <v>12</v>
      </c>
      <c r="O54" s="133">
        <v>12</v>
      </c>
      <c r="P54" s="139">
        <v>60</v>
      </c>
      <c r="Q54" s="134" t="s">
        <v>45</v>
      </c>
      <c r="R54" s="128"/>
      <c r="S54" s="135">
        <v>12</v>
      </c>
      <c r="T54" s="135">
        <v>12</v>
      </c>
      <c r="U54" s="135">
        <v>12</v>
      </c>
      <c r="V54" s="135">
        <v>12</v>
      </c>
      <c r="W54" s="135">
        <v>12</v>
      </c>
      <c r="X54" s="135">
        <v>12</v>
      </c>
      <c r="Y54" s="135">
        <v>12</v>
      </c>
      <c r="Z54" s="79"/>
      <c r="AA54" s="135">
        <v>60</v>
      </c>
      <c r="AB54" s="136" t="s">
        <v>45</v>
      </c>
      <c r="AC54" s="80"/>
      <c r="AD54" s="81"/>
      <c r="AE54" s="82"/>
      <c r="AF54" s="82"/>
      <c r="AG54" s="82"/>
      <c r="AH54" s="82"/>
      <c r="AI54" s="82"/>
      <c r="AJ54" s="82"/>
      <c r="AK54" s="82"/>
      <c r="AL54" s="82"/>
      <c r="AM54" s="83"/>
      <c r="AN54" s="83"/>
      <c r="AO54" s="84" t="str">
        <f t="shared" si="10"/>
        <v>لا</v>
      </c>
      <c r="AP54" s="85" t="str">
        <f t="shared" si="11"/>
        <v/>
      </c>
      <c r="AQ54" s="84" t="str">
        <f t="shared" si="12"/>
        <v>لا</v>
      </c>
      <c r="AR54" s="85" t="str">
        <f t="shared" si="13"/>
        <v/>
      </c>
      <c r="AS54" s="86" t="str">
        <f t="shared" si="14"/>
        <v>لا</v>
      </c>
      <c r="AT54" s="87" t="str">
        <f t="shared" si="15"/>
        <v/>
      </c>
      <c r="AU54" s="88"/>
      <c r="AV54" s="89"/>
      <c r="AW54" s="90"/>
      <c r="AX54" s="91" cm="1">
        <f t="array" ref="AX54">IFERROR(_xlfn.IFS($AB54="عدد الموظفين/الوحدة",S54*$AA54,$AB54='طريقة الحساب'!$B$2,S54*$AA54/الافتراضات!$B$27,$AB54='طريقة الحساب'!$B$3,S54*$AA54/الافتراضات!$B$26,$AB54='طريقة الحساب'!$B$4,S54*$AA54/الافتراضات!$B$28),"")</f>
        <v>1.2109215811841415E-2</v>
      </c>
      <c r="AY54" s="91" cm="1">
        <f t="array" ref="AY54">IFERROR(_xlfn.IFS($AB54="عدد الموظفين/الوحدة",T54*$AA54,$AB54='طريقة الحساب'!$B$2,T54*$AA54/الافتراضات!$B$27,$AB54='طريقة الحساب'!$B$3,T54*$AA54/الافتراضات!$B$26,$AB54='طريقة الحساب'!$B$4,T54*$AA54/الافتراضات!$B$28),"")</f>
        <v>1.2109215811841415E-2</v>
      </c>
      <c r="AZ54" s="91" cm="1">
        <f t="array" ref="AZ54">IFERROR(_xlfn.IFS($AB54="عدد الموظفين/الوحدة",U54*$AA54,$AB54='طريقة الحساب'!$B$2,U54*$AA54/الافتراضات!$B$27,$AB54='طريقة الحساب'!$B$3,U54*$AA54/الافتراضات!$B$26,$AB54='طريقة الحساب'!$B$4,U54*$AA54/الافتراضات!$B$28),"")</f>
        <v>1.2109215811841415E-2</v>
      </c>
      <c r="BA54" s="91" cm="1">
        <f t="array" ref="BA54">IFERROR(_xlfn.IFS($AB54="عدد الموظفين/الوحدة",V54*$AA54,$AB54='طريقة الحساب'!$B$2,V54*$AA54/الافتراضات!$B$27,$AB54='طريقة الحساب'!$B$3,V54*$AA54/الافتراضات!$B$26,$AB54='طريقة الحساب'!$B$4,V54*$AA54/الافتراضات!$B$28),"")</f>
        <v>1.2109215811841415E-2</v>
      </c>
      <c r="BB54" s="91" cm="1">
        <f t="array" ref="BB54">IFERROR(_xlfn.IFS($AB54="عدد الموظفين/الوحدة",W54*$AA54,$AB54='طريقة الحساب'!$B$2,W54*$AA54/الافتراضات!$B$27,$AB54='طريقة الحساب'!$B$3,W54*$AA54/الافتراضات!$B$26,$AB54='طريقة الحساب'!$B$4,W54*$AA54/الافتراضات!$B$28),"")</f>
        <v>1.2109215811841415E-2</v>
      </c>
      <c r="BC54" s="91" cm="1">
        <f t="array" ref="BC54">IFERROR(_xlfn.IFS($AB54="عدد الموظفين/الوحدة",X54*$AA54,$AB54='طريقة الحساب'!$B$2,X54*$AA54/الافتراضات!$B$27,$AB54='طريقة الحساب'!$B$3,X54*$AA54/الافتراضات!$B$26,$AB54='طريقة الحساب'!$B$4,X54*$AA54/الافتراضات!$B$28),"")</f>
        <v>1.2109215811841415E-2</v>
      </c>
      <c r="BD54" s="91" cm="1">
        <f t="array" ref="BD54">IFERROR(_xlfn.IFS($AB54="عدد الموظفين/الوحدة",Y54*$AA54,$AB54='طريقة الحساب'!$B$2,Y54*$AA54/الافتراضات!$B$27,$AB54='طريقة الحساب'!$B$3,Y54*$AA54/الافتراضات!$B$26,$AB54='طريقة الحساب'!$B$4,Y54*$AA54/الافتراضات!$B$28),"")</f>
        <v>1.2109215811841415E-2</v>
      </c>
      <c r="BE54" s="91" cm="1">
        <f t="array" ref="BE54">IFERROR(_xlfn.IFS($AB54="عدد الموظفين/الوحدة",Z54*$AA54,$AB54='طريقة الحساب'!$B$2,Z54*$AA54/الافتراضات!$B$27,$AB54='طريقة الحساب'!$B$3,Z54*$AA54/الافتراضات!$B$26,$AB54='طريقة الحساب'!$B$4,Z54*$AA54/الافتراضات!$B$28),"")</f>
        <v>0</v>
      </c>
      <c r="BF54" s="92"/>
    </row>
    <row r="55" spans="2:58" x14ac:dyDescent="0.35">
      <c r="B55" s="124" t="s">
        <v>87</v>
      </c>
      <c r="C55" s="131" t="s">
        <v>88</v>
      </c>
      <c r="D55" s="131" t="s">
        <v>90</v>
      </c>
      <c r="E55" s="138" t="s">
        <v>91</v>
      </c>
      <c r="F55" s="125" t="s">
        <v>137</v>
      </c>
      <c r="G55" s="126" t="s">
        <v>84</v>
      </c>
      <c r="H55" s="127"/>
      <c r="I55" s="132">
        <v>12</v>
      </c>
      <c r="J55" s="133">
        <v>12</v>
      </c>
      <c r="K55" s="133">
        <v>12</v>
      </c>
      <c r="L55" s="133">
        <v>12</v>
      </c>
      <c r="M55" s="133">
        <v>12</v>
      </c>
      <c r="N55" s="133">
        <v>12</v>
      </c>
      <c r="O55" s="133">
        <v>12</v>
      </c>
      <c r="P55" s="139">
        <v>60</v>
      </c>
      <c r="Q55" s="134" t="s">
        <v>45</v>
      </c>
      <c r="R55" s="128"/>
      <c r="S55" s="135">
        <v>12</v>
      </c>
      <c r="T55" s="135">
        <v>12</v>
      </c>
      <c r="U55" s="135">
        <v>12</v>
      </c>
      <c r="V55" s="135">
        <v>12</v>
      </c>
      <c r="W55" s="135">
        <v>12</v>
      </c>
      <c r="X55" s="135">
        <v>12</v>
      </c>
      <c r="Y55" s="135">
        <v>12</v>
      </c>
      <c r="Z55" s="79"/>
      <c r="AA55" s="135">
        <v>60</v>
      </c>
      <c r="AB55" s="136" t="s">
        <v>45</v>
      </c>
      <c r="AC55" s="80"/>
      <c r="AD55" s="81"/>
      <c r="AE55" s="82"/>
      <c r="AF55" s="82"/>
      <c r="AG55" s="82"/>
      <c r="AH55" s="82"/>
      <c r="AI55" s="82"/>
      <c r="AJ55" s="82"/>
      <c r="AK55" s="82"/>
      <c r="AL55" s="82"/>
      <c r="AM55" s="83"/>
      <c r="AN55" s="83"/>
      <c r="AO55" s="84" t="str">
        <f t="shared" si="10"/>
        <v>لا</v>
      </c>
      <c r="AP55" s="85" t="str">
        <f t="shared" si="11"/>
        <v/>
      </c>
      <c r="AQ55" s="84" t="str">
        <f t="shared" si="12"/>
        <v>لا</v>
      </c>
      <c r="AR55" s="85" t="str">
        <f t="shared" si="13"/>
        <v/>
      </c>
      <c r="AS55" s="86" t="str">
        <f t="shared" si="14"/>
        <v>لا</v>
      </c>
      <c r="AT55" s="87" t="str">
        <f t="shared" si="15"/>
        <v/>
      </c>
      <c r="AU55" s="88"/>
      <c r="AV55" s="89"/>
      <c r="AW55" s="90"/>
      <c r="AX55" s="91" cm="1">
        <f t="array" ref="AX55">IFERROR(_xlfn.IFS($AB55="عدد الموظفين/الوحدة",S55*$AA55,$AB55='طريقة الحساب'!$B$2,S55*$AA55/الافتراضات!$B$27,$AB55='طريقة الحساب'!$B$3,S55*$AA55/الافتراضات!$B$26,$AB55='طريقة الحساب'!$B$4,S55*$AA55/الافتراضات!$B$28),"")</f>
        <v>1.2109215811841415E-2</v>
      </c>
      <c r="AY55" s="91" cm="1">
        <f t="array" ref="AY55">IFERROR(_xlfn.IFS($AB55="عدد الموظفين/الوحدة",T55*$AA55,$AB55='طريقة الحساب'!$B$2,T55*$AA55/الافتراضات!$B$27,$AB55='طريقة الحساب'!$B$3,T55*$AA55/الافتراضات!$B$26,$AB55='طريقة الحساب'!$B$4,T55*$AA55/الافتراضات!$B$28),"")</f>
        <v>1.2109215811841415E-2</v>
      </c>
      <c r="AZ55" s="91" cm="1">
        <f t="array" ref="AZ55">IFERROR(_xlfn.IFS($AB55="عدد الموظفين/الوحدة",U55*$AA55,$AB55='طريقة الحساب'!$B$2,U55*$AA55/الافتراضات!$B$27,$AB55='طريقة الحساب'!$B$3,U55*$AA55/الافتراضات!$B$26,$AB55='طريقة الحساب'!$B$4,U55*$AA55/الافتراضات!$B$28),"")</f>
        <v>1.2109215811841415E-2</v>
      </c>
      <c r="BA55" s="91" cm="1">
        <f t="array" ref="BA55">IFERROR(_xlfn.IFS($AB55="عدد الموظفين/الوحدة",V55*$AA55,$AB55='طريقة الحساب'!$B$2,V55*$AA55/الافتراضات!$B$27,$AB55='طريقة الحساب'!$B$3,V55*$AA55/الافتراضات!$B$26,$AB55='طريقة الحساب'!$B$4,V55*$AA55/الافتراضات!$B$28),"")</f>
        <v>1.2109215811841415E-2</v>
      </c>
      <c r="BB55" s="91" cm="1">
        <f t="array" ref="BB55">IFERROR(_xlfn.IFS($AB55="عدد الموظفين/الوحدة",W55*$AA55,$AB55='طريقة الحساب'!$B$2,W55*$AA55/الافتراضات!$B$27,$AB55='طريقة الحساب'!$B$3,W55*$AA55/الافتراضات!$B$26,$AB55='طريقة الحساب'!$B$4,W55*$AA55/الافتراضات!$B$28),"")</f>
        <v>1.2109215811841415E-2</v>
      </c>
      <c r="BC55" s="91" cm="1">
        <f t="array" ref="BC55">IFERROR(_xlfn.IFS($AB55="عدد الموظفين/الوحدة",X55*$AA55,$AB55='طريقة الحساب'!$B$2,X55*$AA55/الافتراضات!$B$27,$AB55='طريقة الحساب'!$B$3,X55*$AA55/الافتراضات!$B$26,$AB55='طريقة الحساب'!$B$4,X55*$AA55/الافتراضات!$B$28),"")</f>
        <v>1.2109215811841415E-2</v>
      </c>
      <c r="BD55" s="91" cm="1">
        <f t="array" ref="BD55">IFERROR(_xlfn.IFS($AB55="عدد الموظفين/الوحدة",Y55*$AA55,$AB55='طريقة الحساب'!$B$2,Y55*$AA55/الافتراضات!$B$27,$AB55='طريقة الحساب'!$B$3,Y55*$AA55/الافتراضات!$B$26,$AB55='طريقة الحساب'!$B$4,Y55*$AA55/الافتراضات!$B$28),"")</f>
        <v>1.2109215811841415E-2</v>
      </c>
      <c r="BE55" s="91" cm="1">
        <f t="array" ref="BE55">IFERROR(_xlfn.IFS($AB55="عدد الموظفين/الوحدة",Z55*$AA55,$AB55='طريقة الحساب'!$B$2,Z55*$AA55/الافتراضات!$B$27,$AB55='طريقة الحساب'!$B$3,Z55*$AA55/الافتراضات!$B$26,$AB55='طريقة الحساب'!$B$4,Z55*$AA55/الافتراضات!$B$28),"")</f>
        <v>0</v>
      </c>
      <c r="BF55" s="92"/>
    </row>
    <row r="56" spans="2:58" x14ac:dyDescent="0.35">
      <c r="B56" s="124" t="s">
        <v>87</v>
      </c>
      <c r="C56" s="131" t="s">
        <v>88</v>
      </c>
      <c r="D56" s="131" t="s">
        <v>90</v>
      </c>
      <c r="E56" s="138" t="s">
        <v>91</v>
      </c>
      <c r="F56" s="125" t="s">
        <v>138</v>
      </c>
      <c r="G56" s="126" t="s">
        <v>84</v>
      </c>
      <c r="H56" s="127"/>
      <c r="I56" s="132">
        <v>13200</v>
      </c>
      <c r="J56" s="133">
        <v>13200</v>
      </c>
      <c r="K56" s="133">
        <v>13200</v>
      </c>
      <c r="L56" s="133">
        <v>13200</v>
      </c>
      <c r="M56" s="133">
        <v>13200</v>
      </c>
      <c r="N56" s="133">
        <v>13200</v>
      </c>
      <c r="O56" s="133">
        <v>13200</v>
      </c>
      <c r="P56" s="139">
        <v>10</v>
      </c>
      <c r="Q56" s="134" t="s">
        <v>45</v>
      </c>
      <c r="R56" s="128"/>
      <c r="S56" s="135">
        <v>13200</v>
      </c>
      <c r="T56" s="135">
        <v>13200</v>
      </c>
      <c r="U56" s="135">
        <v>13200</v>
      </c>
      <c r="V56" s="135">
        <v>13200</v>
      </c>
      <c r="W56" s="135">
        <v>13200</v>
      </c>
      <c r="X56" s="135">
        <v>13200</v>
      </c>
      <c r="Y56" s="135">
        <v>13200</v>
      </c>
      <c r="Z56" s="79"/>
      <c r="AA56" s="135">
        <v>10</v>
      </c>
      <c r="AB56" s="136" t="s">
        <v>45</v>
      </c>
      <c r="AC56" s="80"/>
      <c r="AD56" s="81"/>
      <c r="AE56" s="82"/>
      <c r="AF56" s="82"/>
      <c r="AG56" s="82"/>
      <c r="AH56" s="82"/>
      <c r="AI56" s="82"/>
      <c r="AJ56" s="82"/>
      <c r="AK56" s="82"/>
      <c r="AL56" s="82"/>
      <c r="AM56" s="83"/>
      <c r="AN56" s="83"/>
      <c r="AO56" s="84" t="str">
        <f t="shared" si="10"/>
        <v>لا</v>
      </c>
      <c r="AP56" s="85" t="str">
        <f t="shared" si="11"/>
        <v/>
      </c>
      <c r="AQ56" s="84" t="str">
        <f t="shared" si="12"/>
        <v>لا</v>
      </c>
      <c r="AR56" s="85" t="str">
        <f t="shared" si="13"/>
        <v/>
      </c>
      <c r="AS56" s="86" t="str">
        <f t="shared" si="14"/>
        <v>لا</v>
      </c>
      <c r="AT56" s="87" t="str">
        <f t="shared" si="15"/>
        <v/>
      </c>
      <c r="AU56" s="88"/>
      <c r="AV56" s="89"/>
      <c r="AW56" s="90"/>
      <c r="AX56" s="91" cm="1">
        <f t="array" ref="AX56">IFERROR(_xlfn.IFS($AB56="عدد الموظفين/الوحدة",S56*$AA56,$AB56='طريقة الحساب'!$B$2,S56*$AA56/الافتراضات!$B$27,$AB56='طريقة الحساب'!$B$3,S56*$AA56/الافتراضات!$B$26,$AB56='طريقة الحساب'!$B$4,S56*$AA56/الافتراضات!$B$28),"")</f>
        <v>2.220022898837593</v>
      </c>
      <c r="AY56" s="91" cm="1">
        <f t="array" ref="AY56">IFERROR(_xlfn.IFS($AB56="عدد الموظفين/الوحدة",T56*$AA56,$AB56='طريقة الحساب'!$B$2,T56*$AA56/الافتراضات!$B$27,$AB56='طريقة الحساب'!$B$3,T56*$AA56/الافتراضات!$B$26,$AB56='طريقة الحساب'!$B$4,T56*$AA56/الافتراضات!$B$28),"")</f>
        <v>2.220022898837593</v>
      </c>
      <c r="AZ56" s="91" cm="1">
        <f t="array" ref="AZ56">IFERROR(_xlfn.IFS($AB56="عدد الموظفين/الوحدة",U56*$AA56,$AB56='طريقة الحساب'!$B$2,U56*$AA56/الافتراضات!$B$27,$AB56='طريقة الحساب'!$B$3,U56*$AA56/الافتراضات!$B$26,$AB56='طريقة الحساب'!$B$4,U56*$AA56/الافتراضات!$B$28),"")</f>
        <v>2.220022898837593</v>
      </c>
      <c r="BA56" s="91" cm="1">
        <f t="array" ref="BA56">IFERROR(_xlfn.IFS($AB56="عدد الموظفين/الوحدة",V56*$AA56,$AB56='طريقة الحساب'!$B$2,V56*$AA56/الافتراضات!$B$27,$AB56='طريقة الحساب'!$B$3,V56*$AA56/الافتراضات!$B$26,$AB56='طريقة الحساب'!$B$4,V56*$AA56/الافتراضات!$B$28),"")</f>
        <v>2.220022898837593</v>
      </c>
      <c r="BB56" s="91" cm="1">
        <f t="array" ref="BB56">IFERROR(_xlfn.IFS($AB56="عدد الموظفين/الوحدة",W56*$AA56,$AB56='طريقة الحساب'!$B$2,W56*$AA56/الافتراضات!$B$27,$AB56='طريقة الحساب'!$B$3,W56*$AA56/الافتراضات!$B$26,$AB56='طريقة الحساب'!$B$4,W56*$AA56/الافتراضات!$B$28),"")</f>
        <v>2.220022898837593</v>
      </c>
      <c r="BC56" s="91" cm="1">
        <f t="array" ref="BC56">IFERROR(_xlfn.IFS($AB56="عدد الموظفين/الوحدة",X56*$AA56,$AB56='طريقة الحساب'!$B$2,X56*$AA56/الافتراضات!$B$27,$AB56='طريقة الحساب'!$B$3,X56*$AA56/الافتراضات!$B$26,$AB56='طريقة الحساب'!$B$4,X56*$AA56/الافتراضات!$B$28),"")</f>
        <v>2.220022898837593</v>
      </c>
      <c r="BD56" s="91" cm="1">
        <f t="array" ref="BD56">IFERROR(_xlfn.IFS($AB56="عدد الموظفين/الوحدة",Y56*$AA56,$AB56='طريقة الحساب'!$B$2,Y56*$AA56/الافتراضات!$B$27,$AB56='طريقة الحساب'!$B$3,Y56*$AA56/الافتراضات!$B$26,$AB56='طريقة الحساب'!$B$4,Y56*$AA56/الافتراضات!$B$28),"")</f>
        <v>2.220022898837593</v>
      </c>
      <c r="BE56" s="91" cm="1">
        <f t="array" ref="BE56">IFERROR(_xlfn.IFS($AB56="عدد الموظفين/الوحدة",Z56*$AA56,$AB56='طريقة الحساب'!$B$2,Z56*$AA56/الافتراضات!$B$27,$AB56='طريقة الحساب'!$B$3,Z56*$AA56/الافتراضات!$B$26,$AB56='طريقة الحساب'!$B$4,Z56*$AA56/الافتراضات!$B$28),"")</f>
        <v>0</v>
      </c>
      <c r="BF56" s="92"/>
    </row>
    <row r="57" spans="2:58" x14ac:dyDescent="0.35">
      <c r="B57" s="124" t="s">
        <v>87</v>
      </c>
      <c r="C57" s="131" t="s">
        <v>88</v>
      </c>
      <c r="D57" s="131" t="s">
        <v>90</v>
      </c>
      <c r="E57" s="138" t="s">
        <v>91</v>
      </c>
      <c r="F57" s="125" t="s">
        <v>139</v>
      </c>
      <c r="G57" s="126" t="s">
        <v>84</v>
      </c>
      <c r="H57" s="127"/>
      <c r="I57" s="132">
        <v>13200</v>
      </c>
      <c r="J57" s="133">
        <v>13200</v>
      </c>
      <c r="K57" s="133">
        <v>13200</v>
      </c>
      <c r="L57" s="133">
        <v>13200</v>
      </c>
      <c r="M57" s="133">
        <v>13200</v>
      </c>
      <c r="N57" s="133">
        <v>13200</v>
      </c>
      <c r="O57" s="133">
        <v>13200</v>
      </c>
      <c r="P57" s="139">
        <v>10</v>
      </c>
      <c r="Q57" s="134" t="s">
        <v>45</v>
      </c>
      <c r="R57" s="128"/>
      <c r="S57" s="135">
        <v>13200</v>
      </c>
      <c r="T57" s="135">
        <v>13200</v>
      </c>
      <c r="U57" s="135">
        <v>13200</v>
      </c>
      <c r="V57" s="135">
        <v>13200</v>
      </c>
      <c r="W57" s="135">
        <v>13200</v>
      </c>
      <c r="X57" s="135">
        <v>13200</v>
      </c>
      <c r="Y57" s="135">
        <v>13200</v>
      </c>
      <c r="Z57" s="79"/>
      <c r="AA57" s="135">
        <v>10</v>
      </c>
      <c r="AB57" s="136" t="s">
        <v>45</v>
      </c>
      <c r="AC57" s="80"/>
      <c r="AD57" s="81"/>
      <c r="AE57" s="82"/>
      <c r="AF57" s="82"/>
      <c r="AG57" s="82"/>
      <c r="AH57" s="82"/>
      <c r="AI57" s="82"/>
      <c r="AJ57" s="82"/>
      <c r="AK57" s="82"/>
      <c r="AL57" s="82"/>
      <c r="AM57" s="83"/>
      <c r="AN57" s="83"/>
      <c r="AO57" s="84" t="str">
        <f t="shared" si="10"/>
        <v>لا</v>
      </c>
      <c r="AP57" s="85" t="str">
        <f t="shared" si="11"/>
        <v/>
      </c>
      <c r="AQ57" s="84" t="str">
        <f t="shared" si="12"/>
        <v>لا</v>
      </c>
      <c r="AR57" s="85" t="str">
        <f t="shared" si="13"/>
        <v/>
      </c>
      <c r="AS57" s="86" t="str">
        <f t="shared" si="14"/>
        <v>لا</v>
      </c>
      <c r="AT57" s="87" t="str">
        <f t="shared" si="15"/>
        <v/>
      </c>
      <c r="AU57" s="88"/>
      <c r="AV57" s="89"/>
      <c r="AW57" s="90"/>
      <c r="AX57" s="91" cm="1">
        <f t="array" ref="AX57">IFERROR(_xlfn.IFS($AB57="عدد الموظفين/الوحدة",S57*$AA57,$AB57='طريقة الحساب'!$B$2,S57*$AA57/الافتراضات!$B$27,$AB57='طريقة الحساب'!$B$3,S57*$AA57/الافتراضات!$B$26,$AB57='طريقة الحساب'!$B$4,S57*$AA57/الافتراضات!$B$28),"")</f>
        <v>2.220022898837593</v>
      </c>
      <c r="AY57" s="91" cm="1">
        <f t="array" ref="AY57">IFERROR(_xlfn.IFS($AB57="عدد الموظفين/الوحدة",T57*$AA57,$AB57='طريقة الحساب'!$B$2,T57*$AA57/الافتراضات!$B$27,$AB57='طريقة الحساب'!$B$3,T57*$AA57/الافتراضات!$B$26,$AB57='طريقة الحساب'!$B$4,T57*$AA57/الافتراضات!$B$28),"")</f>
        <v>2.220022898837593</v>
      </c>
      <c r="AZ57" s="91" cm="1">
        <f t="array" ref="AZ57">IFERROR(_xlfn.IFS($AB57="عدد الموظفين/الوحدة",U57*$AA57,$AB57='طريقة الحساب'!$B$2,U57*$AA57/الافتراضات!$B$27,$AB57='طريقة الحساب'!$B$3,U57*$AA57/الافتراضات!$B$26,$AB57='طريقة الحساب'!$B$4,U57*$AA57/الافتراضات!$B$28),"")</f>
        <v>2.220022898837593</v>
      </c>
      <c r="BA57" s="91" cm="1">
        <f t="array" ref="BA57">IFERROR(_xlfn.IFS($AB57="عدد الموظفين/الوحدة",V57*$AA57,$AB57='طريقة الحساب'!$B$2,V57*$AA57/الافتراضات!$B$27,$AB57='طريقة الحساب'!$B$3,V57*$AA57/الافتراضات!$B$26,$AB57='طريقة الحساب'!$B$4,V57*$AA57/الافتراضات!$B$28),"")</f>
        <v>2.220022898837593</v>
      </c>
      <c r="BB57" s="91" cm="1">
        <f t="array" ref="BB57">IFERROR(_xlfn.IFS($AB57="عدد الموظفين/الوحدة",W57*$AA57,$AB57='طريقة الحساب'!$B$2,W57*$AA57/الافتراضات!$B$27,$AB57='طريقة الحساب'!$B$3,W57*$AA57/الافتراضات!$B$26,$AB57='طريقة الحساب'!$B$4,W57*$AA57/الافتراضات!$B$28),"")</f>
        <v>2.220022898837593</v>
      </c>
      <c r="BC57" s="91" cm="1">
        <f t="array" ref="BC57">IFERROR(_xlfn.IFS($AB57="عدد الموظفين/الوحدة",X57*$AA57,$AB57='طريقة الحساب'!$B$2,X57*$AA57/الافتراضات!$B$27,$AB57='طريقة الحساب'!$B$3,X57*$AA57/الافتراضات!$B$26,$AB57='طريقة الحساب'!$B$4,X57*$AA57/الافتراضات!$B$28),"")</f>
        <v>2.220022898837593</v>
      </c>
      <c r="BD57" s="91" cm="1">
        <f t="array" ref="BD57">IFERROR(_xlfn.IFS($AB57="عدد الموظفين/الوحدة",Y57*$AA57,$AB57='طريقة الحساب'!$B$2,Y57*$AA57/الافتراضات!$B$27,$AB57='طريقة الحساب'!$B$3,Y57*$AA57/الافتراضات!$B$26,$AB57='طريقة الحساب'!$B$4,Y57*$AA57/الافتراضات!$B$28),"")</f>
        <v>2.220022898837593</v>
      </c>
      <c r="BE57" s="91" cm="1">
        <f t="array" ref="BE57">IFERROR(_xlfn.IFS($AB57="عدد الموظفين/الوحدة",Z57*$AA57,$AB57='طريقة الحساب'!$B$2,Z57*$AA57/الافتراضات!$B$27,$AB57='طريقة الحساب'!$B$3,Z57*$AA57/الافتراضات!$B$26,$AB57='طريقة الحساب'!$B$4,Z57*$AA57/الافتراضات!$B$28),"")</f>
        <v>0</v>
      </c>
      <c r="BF57" s="92"/>
    </row>
    <row r="58" spans="2:58" x14ac:dyDescent="0.35">
      <c r="B58" s="124" t="s">
        <v>87</v>
      </c>
      <c r="C58" s="131" t="s">
        <v>88</v>
      </c>
      <c r="D58" s="131" t="s">
        <v>90</v>
      </c>
      <c r="E58" s="138" t="s">
        <v>91</v>
      </c>
      <c r="F58" s="125" t="s">
        <v>140</v>
      </c>
      <c r="G58" s="126" t="s">
        <v>84</v>
      </c>
      <c r="H58" s="127"/>
      <c r="I58" s="132">
        <v>150</v>
      </c>
      <c r="J58" s="133">
        <v>150</v>
      </c>
      <c r="K58" s="133">
        <v>150</v>
      </c>
      <c r="L58" s="133">
        <v>150</v>
      </c>
      <c r="M58" s="133">
        <v>150</v>
      </c>
      <c r="N58" s="133">
        <v>150</v>
      </c>
      <c r="O58" s="133">
        <v>150</v>
      </c>
      <c r="P58" s="139">
        <v>5</v>
      </c>
      <c r="Q58" s="134" t="s">
        <v>45</v>
      </c>
      <c r="R58" s="128"/>
      <c r="S58" s="135">
        <v>150</v>
      </c>
      <c r="T58" s="135">
        <v>150</v>
      </c>
      <c r="U58" s="135">
        <v>150</v>
      </c>
      <c r="V58" s="135">
        <v>150</v>
      </c>
      <c r="W58" s="135">
        <v>150</v>
      </c>
      <c r="X58" s="135">
        <v>150</v>
      </c>
      <c r="Y58" s="135">
        <v>150</v>
      </c>
      <c r="Z58" s="79"/>
      <c r="AA58" s="135">
        <v>5</v>
      </c>
      <c r="AB58" s="136" t="s">
        <v>45</v>
      </c>
      <c r="AC58" s="80"/>
      <c r="AD58" s="81"/>
      <c r="AE58" s="82"/>
      <c r="AF58" s="82"/>
      <c r="AG58" s="82"/>
      <c r="AH58" s="82"/>
      <c r="AI58" s="82"/>
      <c r="AJ58" s="82"/>
      <c r="AK58" s="82"/>
      <c r="AL58" s="82"/>
      <c r="AM58" s="83"/>
      <c r="AN58" s="83"/>
      <c r="AO58" s="84" t="str">
        <f t="shared" si="10"/>
        <v>لا</v>
      </c>
      <c r="AP58" s="85" t="str">
        <f t="shared" si="11"/>
        <v/>
      </c>
      <c r="AQ58" s="84" t="str">
        <f t="shared" si="12"/>
        <v>لا</v>
      </c>
      <c r="AR58" s="85" t="str">
        <f t="shared" si="13"/>
        <v/>
      </c>
      <c r="AS58" s="86" t="str">
        <f t="shared" si="14"/>
        <v>لا</v>
      </c>
      <c r="AT58" s="87" t="str">
        <f t="shared" si="15"/>
        <v/>
      </c>
      <c r="AU58" s="88"/>
      <c r="AV58" s="89"/>
      <c r="AW58" s="90"/>
      <c r="AX58" s="91" cm="1">
        <f t="array" ref="AX58">IFERROR(_xlfn.IFS($AB58="عدد الموظفين/الوحدة",S58*$AA58,$AB58='طريقة الحساب'!$B$2,S58*$AA58/الافتراضات!$B$27,$AB58='طريقة الحساب'!$B$3,S58*$AA58/الافتراضات!$B$26,$AB58='طريقة الحساب'!$B$4,S58*$AA58/الافتراضات!$B$28),"")</f>
        <v>1.2613766470668142E-2</v>
      </c>
      <c r="AY58" s="91" cm="1">
        <f t="array" ref="AY58">IFERROR(_xlfn.IFS($AB58="عدد الموظفين/الوحدة",T58*$AA58,$AB58='طريقة الحساب'!$B$2,T58*$AA58/الافتراضات!$B$27,$AB58='طريقة الحساب'!$B$3,T58*$AA58/الافتراضات!$B$26,$AB58='طريقة الحساب'!$B$4,T58*$AA58/الافتراضات!$B$28),"")</f>
        <v>1.2613766470668142E-2</v>
      </c>
      <c r="AZ58" s="91" cm="1">
        <f t="array" ref="AZ58">IFERROR(_xlfn.IFS($AB58="عدد الموظفين/الوحدة",U58*$AA58,$AB58='طريقة الحساب'!$B$2,U58*$AA58/الافتراضات!$B$27,$AB58='طريقة الحساب'!$B$3,U58*$AA58/الافتراضات!$B$26,$AB58='طريقة الحساب'!$B$4,U58*$AA58/الافتراضات!$B$28),"")</f>
        <v>1.2613766470668142E-2</v>
      </c>
      <c r="BA58" s="91" cm="1">
        <f t="array" ref="BA58">IFERROR(_xlfn.IFS($AB58="عدد الموظفين/الوحدة",V58*$AA58,$AB58='طريقة الحساب'!$B$2,V58*$AA58/الافتراضات!$B$27,$AB58='طريقة الحساب'!$B$3,V58*$AA58/الافتراضات!$B$26,$AB58='طريقة الحساب'!$B$4,V58*$AA58/الافتراضات!$B$28),"")</f>
        <v>1.2613766470668142E-2</v>
      </c>
      <c r="BB58" s="91" cm="1">
        <f t="array" ref="BB58">IFERROR(_xlfn.IFS($AB58="عدد الموظفين/الوحدة",W58*$AA58,$AB58='طريقة الحساب'!$B$2,W58*$AA58/الافتراضات!$B$27,$AB58='طريقة الحساب'!$B$3,W58*$AA58/الافتراضات!$B$26,$AB58='طريقة الحساب'!$B$4,W58*$AA58/الافتراضات!$B$28),"")</f>
        <v>1.2613766470668142E-2</v>
      </c>
      <c r="BC58" s="91" cm="1">
        <f t="array" ref="BC58">IFERROR(_xlfn.IFS($AB58="عدد الموظفين/الوحدة",X58*$AA58,$AB58='طريقة الحساب'!$B$2,X58*$AA58/الافتراضات!$B$27,$AB58='طريقة الحساب'!$B$3,X58*$AA58/الافتراضات!$B$26,$AB58='طريقة الحساب'!$B$4,X58*$AA58/الافتراضات!$B$28),"")</f>
        <v>1.2613766470668142E-2</v>
      </c>
      <c r="BD58" s="91" cm="1">
        <f t="array" ref="BD58">IFERROR(_xlfn.IFS($AB58="عدد الموظفين/الوحدة",Y58*$AA58,$AB58='طريقة الحساب'!$B$2,Y58*$AA58/الافتراضات!$B$27,$AB58='طريقة الحساب'!$B$3,Y58*$AA58/الافتراضات!$B$26,$AB58='طريقة الحساب'!$B$4,Y58*$AA58/الافتراضات!$B$28),"")</f>
        <v>1.2613766470668142E-2</v>
      </c>
      <c r="BE58" s="91" cm="1">
        <f t="array" ref="BE58">IFERROR(_xlfn.IFS($AB58="عدد الموظفين/الوحدة",Z58*$AA58,$AB58='طريقة الحساب'!$B$2,Z58*$AA58/الافتراضات!$B$27,$AB58='طريقة الحساب'!$B$3,Z58*$AA58/الافتراضات!$B$26,$AB58='طريقة الحساب'!$B$4,Z58*$AA58/الافتراضات!$B$28),"")</f>
        <v>0</v>
      </c>
      <c r="BF58" s="92"/>
    </row>
    <row r="59" spans="2:58" x14ac:dyDescent="0.35">
      <c r="B59" s="124" t="s">
        <v>87</v>
      </c>
      <c r="C59" s="131" t="s">
        <v>88</v>
      </c>
      <c r="D59" s="131" t="s">
        <v>90</v>
      </c>
      <c r="E59" s="138" t="s">
        <v>91</v>
      </c>
      <c r="F59" s="125" t="s">
        <v>141</v>
      </c>
      <c r="G59" s="126" t="s">
        <v>84</v>
      </c>
      <c r="H59" s="127"/>
      <c r="I59" s="132">
        <v>12</v>
      </c>
      <c r="J59" s="133">
        <v>12</v>
      </c>
      <c r="K59" s="133">
        <v>12</v>
      </c>
      <c r="L59" s="133">
        <v>12</v>
      </c>
      <c r="M59" s="133">
        <v>12</v>
      </c>
      <c r="N59" s="133">
        <v>12</v>
      </c>
      <c r="O59" s="133">
        <v>12</v>
      </c>
      <c r="P59" s="139">
        <v>5</v>
      </c>
      <c r="Q59" s="134" t="s">
        <v>46</v>
      </c>
      <c r="R59" s="128"/>
      <c r="S59" s="135">
        <v>12</v>
      </c>
      <c r="T59" s="135">
        <v>12</v>
      </c>
      <c r="U59" s="135">
        <v>12</v>
      </c>
      <c r="V59" s="135">
        <v>12</v>
      </c>
      <c r="W59" s="135">
        <v>12</v>
      </c>
      <c r="X59" s="135">
        <v>12</v>
      </c>
      <c r="Y59" s="135">
        <v>12</v>
      </c>
      <c r="Z59" s="79"/>
      <c r="AA59" s="135">
        <v>5</v>
      </c>
      <c r="AB59" s="136" t="s">
        <v>46</v>
      </c>
      <c r="AC59" s="80"/>
      <c r="AD59" s="81"/>
      <c r="AE59" s="82"/>
      <c r="AF59" s="82"/>
      <c r="AG59" s="82"/>
      <c r="AH59" s="82"/>
      <c r="AI59" s="82"/>
      <c r="AJ59" s="82"/>
      <c r="AK59" s="82"/>
      <c r="AL59" s="82"/>
      <c r="AM59" s="83"/>
      <c r="AN59" s="83"/>
      <c r="AO59" s="84" t="str">
        <f t="shared" si="10"/>
        <v>لا</v>
      </c>
      <c r="AP59" s="85" t="str">
        <f t="shared" si="11"/>
        <v/>
      </c>
      <c r="AQ59" s="84" t="str">
        <f t="shared" si="12"/>
        <v>لا</v>
      </c>
      <c r="AR59" s="85" t="str">
        <f t="shared" si="13"/>
        <v/>
      </c>
      <c r="AS59" s="86" t="str">
        <f t="shared" si="14"/>
        <v>لا</v>
      </c>
      <c r="AT59" s="87" t="str">
        <f t="shared" si="15"/>
        <v/>
      </c>
      <c r="AU59" s="88"/>
      <c r="AV59" s="89"/>
      <c r="AW59" s="90"/>
      <c r="AX59" s="91" cm="1">
        <f t="array" ref="AX59">IFERROR(_xlfn.IFS($AB59="عدد الموظفين/الوحدة",S59*$AA59,$AB59='طريقة الحساب'!$B$2,S59*$AA59/الافتراضات!$B$27,$AB59='طريقة الحساب'!$B$3,S59*$AA59/الافتراضات!$B$26,$AB59='طريقة الحساب'!$B$4,S59*$AA59/الافتراضات!$B$28),"")</f>
        <v>0.31088082901554404</v>
      </c>
      <c r="AY59" s="91" cm="1">
        <f t="array" ref="AY59">IFERROR(_xlfn.IFS($AB59="عدد الموظفين/الوحدة",T59*$AA59,$AB59='طريقة الحساب'!$B$2,T59*$AA59/الافتراضات!$B$27,$AB59='طريقة الحساب'!$B$3,T59*$AA59/الافتراضات!$B$26,$AB59='طريقة الحساب'!$B$4,T59*$AA59/الافتراضات!$B$28),"")</f>
        <v>0.31088082901554404</v>
      </c>
      <c r="AZ59" s="91" cm="1">
        <f t="array" ref="AZ59">IFERROR(_xlfn.IFS($AB59="عدد الموظفين/الوحدة",U59*$AA59,$AB59='طريقة الحساب'!$B$2,U59*$AA59/الافتراضات!$B$27,$AB59='طريقة الحساب'!$B$3,U59*$AA59/الافتراضات!$B$26,$AB59='طريقة الحساب'!$B$4,U59*$AA59/الافتراضات!$B$28),"")</f>
        <v>0.31088082901554404</v>
      </c>
      <c r="BA59" s="91" cm="1">
        <f t="array" ref="BA59">IFERROR(_xlfn.IFS($AB59="عدد الموظفين/الوحدة",V59*$AA59,$AB59='طريقة الحساب'!$B$2,V59*$AA59/الافتراضات!$B$27,$AB59='طريقة الحساب'!$B$3,V59*$AA59/الافتراضات!$B$26,$AB59='طريقة الحساب'!$B$4,V59*$AA59/الافتراضات!$B$28),"")</f>
        <v>0.31088082901554404</v>
      </c>
      <c r="BB59" s="91" cm="1">
        <f t="array" ref="BB59">IFERROR(_xlfn.IFS($AB59="عدد الموظفين/الوحدة",W59*$AA59,$AB59='طريقة الحساب'!$B$2,W59*$AA59/الافتراضات!$B$27,$AB59='طريقة الحساب'!$B$3,W59*$AA59/الافتراضات!$B$26,$AB59='طريقة الحساب'!$B$4,W59*$AA59/الافتراضات!$B$28),"")</f>
        <v>0.31088082901554404</v>
      </c>
      <c r="BC59" s="91" cm="1">
        <f t="array" ref="BC59">IFERROR(_xlfn.IFS($AB59="عدد الموظفين/الوحدة",X59*$AA59,$AB59='طريقة الحساب'!$B$2,X59*$AA59/الافتراضات!$B$27,$AB59='طريقة الحساب'!$B$3,X59*$AA59/الافتراضات!$B$26,$AB59='طريقة الحساب'!$B$4,X59*$AA59/الافتراضات!$B$28),"")</f>
        <v>0.31088082901554404</v>
      </c>
      <c r="BD59" s="91" cm="1">
        <f t="array" ref="BD59">IFERROR(_xlfn.IFS($AB59="عدد الموظفين/الوحدة",Y59*$AA59,$AB59='طريقة الحساب'!$B$2,Y59*$AA59/الافتراضات!$B$27,$AB59='طريقة الحساب'!$B$3,Y59*$AA59/الافتراضات!$B$26,$AB59='طريقة الحساب'!$B$4,Y59*$AA59/الافتراضات!$B$28),"")</f>
        <v>0.31088082901554404</v>
      </c>
      <c r="BE59" s="91" cm="1">
        <f t="array" ref="BE59">IFERROR(_xlfn.IFS($AB59="عدد الموظفين/الوحدة",Z59*$AA59,$AB59='طريقة الحساب'!$B$2,Z59*$AA59/الافتراضات!$B$27,$AB59='طريقة الحساب'!$B$3,Z59*$AA59/الافتراضات!$B$26,$AB59='طريقة الحساب'!$B$4,Z59*$AA59/الافتراضات!$B$28),"")</f>
        <v>0</v>
      </c>
      <c r="BF59" s="92"/>
    </row>
    <row r="60" spans="2:58" x14ac:dyDescent="0.35">
      <c r="B60" s="124" t="s">
        <v>87</v>
      </c>
      <c r="C60" s="131" t="s">
        <v>88</v>
      </c>
      <c r="D60" s="131" t="s">
        <v>90</v>
      </c>
      <c r="E60" s="138" t="s">
        <v>91</v>
      </c>
      <c r="F60" s="125" t="s">
        <v>142</v>
      </c>
      <c r="G60" s="126" t="s">
        <v>84</v>
      </c>
      <c r="H60" s="127"/>
      <c r="I60" s="132">
        <v>12</v>
      </c>
      <c r="J60" s="133">
        <v>12</v>
      </c>
      <c r="K60" s="133">
        <v>12</v>
      </c>
      <c r="L60" s="133">
        <v>12</v>
      </c>
      <c r="M60" s="133">
        <v>12</v>
      </c>
      <c r="N60" s="133">
        <v>12</v>
      </c>
      <c r="O60" s="133">
        <v>12</v>
      </c>
      <c r="P60" s="139">
        <v>15</v>
      </c>
      <c r="Q60" s="134" t="s">
        <v>46</v>
      </c>
      <c r="R60" s="128"/>
      <c r="S60" s="135">
        <v>12</v>
      </c>
      <c r="T60" s="135">
        <v>12</v>
      </c>
      <c r="U60" s="135">
        <v>12</v>
      </c>
      <c r="V60" s="135">
        <v>12</v>
      </c>
      <c r="W60" s="135">
        <v>12</v>
      </c>
      <c r="X60" s="135">
        <v>12</v>
      </c>
      <c r="Y60" s="135">
        <v>12</v>
      </c>
      <c r="Z60" s="79"/>
      <c r="AA60" s="135">
        <v>15</v>
      </c>
      <c r="AB60" s="136" t="s">
        <v>46</v>
      </c>
      <c r="AC60" s="80"/>
      <c r="AD60" s="81"/>
      <c r="AE60" s="82"/>
      <c r="AF60" s="82"/>
      <c r="AG60" s="82"/>
      <c r="AH60" s="82"/>
      <c r="AI60" s="82"/>
      <c r="AJ60" s="82"/>
      <c r="AK60" s="82"/>
      <c r="AL60" s="82"/>
      <c r="AM60" s="83"/>
      <c r="AN60" s="83"/>
      <c r="AO60" s="84" t="str">
        <f t="shared" si="10"/>
        <v>لا</v>
      </c>
      <c r="AP60" s="85" t="str">
        <f t="shared" si="11"/>
        <v/>
      </c>
      <c r="AQ60" s="84" t="str">
        <f t="shared" si="12"/>
        <v>لا</v>
      </c>
      <c r="AR60" s="85" t="str">
        <f t="shared" si="13"/>
        <v/>
      </c>
      <c r="AS60" s="86" t="str">
        <f t="shared" si="14"/>
        <v>لا</v>
      </c>
      <c r="AT60" s="87" t="str">
        <f t="shared" si="15"/>
        <v/>
      </c>
      <c r="AU60" s="88"/>
      <c r="AV60" s="89"/>
      <c r="AW60" s="90"/>
      <c r="AX60" s="91" cm="1">
        <f t="array" ref="AX60">IFERROR(_xlfn.IFS($AB60="عدد الموظفين/الوحدة",S60*$AA60,$AB60='طريقة الحساب'!$B$2,S60*$AA60/الافتراضات!$B$27,$AB60='طريقة الحساب'!$B$3,S60*$AA60/الافتراضات!$B$26,$AB60='طريقة الحساب'!$B$4,S60*$AA60/الافتراضات!$B$28),"")</f>
        <v>0.93264248704663211</v>
      </c>
      <c r="AY60" s="91" cm="1">
        <f t="array" ref="AY60">IFERROR(_xlfn.IFS($AB60="عدد الموظفين/الوحدة",T60*$AA60,$AB60='طريقة الحساب'!$B$2,T60*$AA60/الافتراضات!$B$27,$AB60='طريقة الحساب'!$B$3,T60*$AA60/الافتراضات!$B$26,$AB60='طريقة الحساب'!$B$4,T60*$AA60/الافتراضات!$B$28),"")</f>
        <v>0.93264248704663211</v>
      </c>
      <c r="AZ60" s="91" cm="1">
        <f t="array" ref="AZ60">IFERROR(_xlfn.IFS($AB60="عدد الموظفين/الوحدة",U60*$AA60,$AB60='طريقة الحساب'!$B$2,U60*$AA60/الافتراضات!$B$27,$AB60='طريقة الحساب'!$B$3,U60*$AA60/الافتراضات!$B$26,$AB60='طريقة الحساب'!$B$4,U60*$AA60/الافتراضات!$B$28),"")</f>
        <v>0.93264248704663211</v>
      </c>
      <c r="BA60" s="91" cm="1">
        <f t="array" ref="BA60">IFERROR(_xlfn.IFS($AB60="عدد الموظفين/الوحدة",V60*$AA60,$AB60='طريقة الحساب'!$B$2,V60*$AA60/الافتراضات!$B$27,$AB60='طريقة الحساب'!$B$3,V60*$AA60/الافتراضات!$B$26,$AB60='طريقة الحساب'!$B$4,V60*$AA60/الافتراضات!$B$28),"")</f>
        <v>0.93264248704663211</v>
      </c>
      <c r="BB60" s="91" cm="1">
        <f t="array" ref="BB60">IFERROR(_xlfn.IFS($AB60="عدد الموظفين/الوحدة",W60*$AA60,$AB60='طريقة الحساب'!$B$2,W60*$AA60/الافتراضات!$B$27,$AB60='طريقة الحساب'!$B$3,W60*$AA60/الافتراضات!$B$26,$AB60='طريقة الحساب'!$B$4,W60*$AA60/الافتراضات!$B$28),"")</f>
        <v>0.93264248704663211</v>
      </c>
      <c r="BC60" s="91" cm="1">
        <f t="array" ref="BC60">IFERROR(_xlfn.IFS($AB60="عدد الموظفين/الوحدة",X60*$AA60,$AB60='طريقة الحساب'!$B$2,X60*$AA60/الافتراضات!$B$27,$AB60='طريقة الحساب'!$B$3,X60*$AA60/الافتراضات!$B$26,$AB60='طريقة الحساب'!$B$4,X60*$AA60/الافتراضات!$B$28),"")</f>
        <v>0.93264248704663211</v>
      </c>
      <c r="BD60" s="91" cm="1">
        <f t="array" ref="BD60">IFERROR(_xlfn.IFS($AB60="عدد الموظفين/الوحدة",Y60*$AA60,$AB60='طريقة الحساب'!$B$2,Y60*$AA60/الافتراضات!$B$27,$AB60='طريقة الحساب'!$B$3,Y60*$AA60/الافتراضات!$B$26,$AB60='طريقة الحساب'!$B$4,Y60*$AA60/الافتراضات!$B$28),"")</f>
        <v>0.93264248704663211</v>
      </c>
      <c r="BE60" s="91" cm="1">
        <f t="array" ref="BE60">IFERROR(_xlfn.IFS($AB60="عدد الموظفين/الوحدة",Z60*$AA60,$AB60='طريقة الحساب'!$B$2,Z60*$AA60/الافتراضات!$B$27,$AB60='طريقة الحساب'!$B$3,Z60*$AA60/الافتراضات!$B$26,$AB60='طريقة الحساب'!$B$4,Z60*$AA60/الافتراضات!$B$28),"")</f>
        <v>0</v>
      </c>
      <c r="BF60" s="92"/>
    </row>
    <row r="61" spans="2:58" x14ac:dyDescent="0.35">
      <c r="B61" s="124" t="s">
        <v>87</v>
      </c>
      <c r="C61" s="131" t="s">
        <v>88</v>
      </c>
      <c r="D61" s="131" t="s">
        <v>90</v>
      </c>
      <c r="E61" s="138" t="s">
        <v>91</v>
      </c>
      <c r="F61" s="125" t="s">
        <v>143</v>
      </c>
      <c r="G61" s="126" t="s">
        <v>84</v>
      </c>
      <c r="H61" s="127"/>
      <c r="I61" s="132">
        <v>12</v>
      </c>
      <c r="J61" s="133">
        <v>12</v>
      </c>
      <c r="K61" s="133">
        <v>12</v>
      </c>
      <c r="L61" s="133">
        <v>12</v>
      </c>
      <c r="M61" s="133">
        <v>12</v>
      </c>
      <c r="N61" s="133">
        <v>12</v>
      </c>
      <c r="O61" s="133">
        <v>12</v>
      </c>
      <c r="P61" s="139">
        <v>15</v>
      </c>
      <c r="Q61" s="134" t="s">
        <v>46</v>
      </c>
      <c r="R61" s="128"/>
      <c r="S61" s="135">
        <v>12</v>
      </c>
      <c r="T61" s="135">
        <v>12</v>
      </c>
      <c r="U61" s="135">
        <v>12</v>
      </c>
      <c r="V61" s="135">
        <v>12</v>
      </c>
      <c r="W61" s="135">
        <v>12</v>
      </c>
      <c r="X61" s="135">
        <v>12</v>
      </c>
      <c r="Y61" s="135">
        <v>12</v>
      </c>
      <c r="Z61" s="79"/>
      <c r="AA61" s="135">
        <v>15</v>
      </c>
      <c r="AB61" s="136" t="s">
        <v>46</v>
      </c>
      <c r="AC61" s="80"/>
      <c r="AD61" s="81"/>
      <c r="AE61" s="82"/>
      <c r="AF61" s="82"/>
      <c r="AG61" s="82"/>
      <c r="AH61" s="82"/>
      <c r="AI61" s="82"/>
      <c r="AJ61" s="82"/>
      <c r="AK61" s="82"/>
      <c r="AL61" s="82"/>
      <c r="AM61" s="83"/>
      <c r="AN61" s="83"/>
      <c r="AO61" s="84" t="str">
        <f t="shared" si="10"/>
        <v>لا</v>
      </c>
      <c r="AP61" s="85" t="str">
        <f t="shared" si="11"/>
        <v/>
      </c>
      <c r="AQ61" s="84" t="str">
        <f t="shared" si="12"/>
        <v>لا</v>
      </c>
      <c r="AR61" s="85" t="str">
        <f t="shared" si="13"/>
        <v/>
      </c>
      <c r="AS61" s="86" t="str">
        <f t="shared" si="14"/>
        <v>لا</v>
      </c>
      <c r="AT61" s="87" t="str">
        <f t="shared" si="15"/>
        <v/>
      </c>
      <c r="AU61" s="88"/>
      <c r="AV61" s="89"/>
      <c r="AW61" s="90"/>
      <c r="AX61" s="91" cm="1">
        <f t="array" ref="AX61">IFERROR(_xlfn.IFS($AB61="عدد الموظفين/الوحدة",S61*$AA61,$AB61='طريقة الحساب'!$B$2,S61*$AA61/الافتراضات!$B$27,$AB61='طريقة الحساب'!$B$3,S61*$AA61/الافتراضات!$B$26,$AB61='طريقة الحساب'!$B$4,S61*$AA61/الافتراضات!$B$28),"")</f>
        <v>0.93264248704663211</v>
      </c>
      <c r="AY61" s="91" cm="1">
        <f t="array" ref="AY61">IFERROR(_xlfn.IFS($AB61="عدد الموظفين/الوحدة",T61*$AA61,$AB61='طريقة الحساب'!$B$2,T61*$AA61/الافتراضات!$B$27,$AB61='طريقة الحساب'!$B$3,T61*$AA61/الافتراضات!$B$26,$AB61='طريقة الحساب'!$B$4,T61*$AA61/الافتراضات!$B$28),"")</f>
        <v>0.93264248704663211</v>
      </c>
      <c r="AZ61" s="91" cm="1">
        <f t="array" ref="AZ61">IFERROR(_xlfn.IFS($AB61="عدد الموظفين/الوحدة",U61*$AA61,$AB61='طريقة الحساب'!$B$2,U61*$AA61/الافتراضات!$B$27,$AB61='طريقة الحساب'!$B$3,U61*$AA61/الافتراضات!$B$26,$AB61='طريقة الحساب'!$B$4,U61*$AA61/الافتراضات!$B$28),"")</f>
        <v>0.93264248704663211</v>
      </c>
      <c r="BA61" s="91" cm="1">
        <f t="array" ref="BA61">IFERROR(_xlfn.IFS($AB61="عدد الموظفين/الوحدة",V61*$AA61,$AB61='طريقة الحساب'!$B$2,V61*$AA61/الافتراضات!$B$27,$AB61='طريقة الحساب'!$B$3,V61*$AA61/الافتراضات!$B$26,$AB61='طريقة الحساب'!$B$4,V61*$AA61/الافتراضات!$B$28),"")</f>
        <v>0.93264248704663211</v>
      </c>
      <c r="BB61" s="91" cm="1">
        <f t="array" ref="BB61">IFERROR(_xlfn.IFS($AB61="عدد الموظفين/الوحدة",W61*$AA61,$AB61='طريقة الحساب'!$B$2,W61*$AA61/الافتراضات!$B$27,$AB61='طريقة الحساب'!$B$3,W61*$AA61/الافتراضات!$B$26,$AB61='طريقة الحساب'!$B$4,W61*$AA61/الافتراضات!$B$28),"")</f>
        <v>0.93264248704663211</v>
      </c>
      <c r="BC61" s="91" cm="1">
        <f t="array" ref="BC61">IFERROR(_xlfn.IFS($AB61="عدد الموظفين/الوحدة",X61*$AA61,$AB61='طريقة الحساب'!$B$2,X61*$AA61/الافتراضات!$B$27,$AB61='طريقة الحساب'!$B$3,X61*$AA61/الافتراضات!$B$26,$AB61='طريقة الحساب'!$B$4,X61*$AA61/الافتراضات!$B$28),"")</f>
        <v>0.93264248704663211</v>
      </c>
      <c r="BD61" s="91" cm="1">
        <f t="array" ref="BD61">IFERROR(_xlfn.IFS($AB61="عدد الموظفين/الوحدة",Y61*$AA61,$AB61='طريقة الحساب'!$B$2,Y61*$AA61/الافتراضات!$B$27,$AB61='طريقة الحساب'!$B$3,Y61*$AA61/الافتراضات!$B$26,$AB61='طريقة الحساب'!$B$4,Y61*$AA61/الافتراضات!$B$28),"")</f>
        <v>0.93264248704663211</v>
      </c>
      <c r="BE61" s="91" cm="1">
        <f t="array" ref="BE61">IFERROR(_xlfn.IFS($AB61="عدد الموظفين/الوحدة",Z61*$AA61,$AB61='طريقة الحساب'!$B$2,Z61*$AA61/الافتراضات!$B$27,$AB61='طريقة الحساب'!$B$3,Z61*$AA61/الافتراضات!$B$26,$AB61='طريقة الحساب'!$B$4,Z61*$AA61/الافتراضات!$B$28),"")</f>
        <v>0</v>
      </c>
      <c r="BF61" s="92"/>
    </row>
    <row r="62" spans="2:58" x14ac:dyDescent="0.35">
      <c r="B62" s="124" t="s">
        <v>87</v>
      </c>
      <c r="C62" s="131" t="s">
        <v>88</v>
      </c>
      <c r="D62" s="131" t="s">
        <v>90</v>
      </c>
      <c r="E62" s="138" t="s">
        <v>91</v>
      </c>
      <c r="F62" s="125" t="s">
        <v>144</v>
      </c>
      <c r="G62" s="126" t="s">
        <v>84</v>
      </c>
      <c r="H62" s="127"/>
      <c r="I62" s="132">
        <v>750</v>
      </c>
      <c r="J62" s="133">
        <v>760</v>
      </c>
      <c r="K62" s="133">
        <v>770</v>
      </c>
      <c r="L62" s="133">
        <v>780</v>
      </c>
      <c r="M62" s="133">
        <v>790</v>
      </c>
      <c r="N62" s="133">
        <v>800</v>
      </c>
      <c r="O62" s="133">
        <v>800</v>
      </c>
      <c r="P62" s="139">
        <v>15</v>
      </c>
      <c r="Q62" s="134" t="s">
        <v>45</v>
      </c>
      <c r="R62" s="128"/>
      <c r="S62" s="135">
        <v>750</v>
      </c>
      <c r="T62" s="135">
        <v>760</v>
      </c>
      <c r="U62" s="135">
        <v>770</v>
      </c>
      <c r="V62" s="135">
        <v>780</v>
      </c>
      <c r="W62" s="135">
        <v>790</v>
      </c>
      <c r="X62" s="135">
        <v>800</v>
      </c>
      <c r="Y62" s="135">
        <v>800</v>
      </c>
      <c r="Z62" s="79"/>
      <c r="AA62" s="135">
        <v>15</v>
      </c>
      <c r="AB62" s="136" t="s">
        <v>45</v>
      </c>
      <c r="AC62" s="80"/>
      <c r="AD62" s="81"/>
      <c r="AE62" s="82"/>
      <c r="AF62" s="82"/>
      <c r="AG62" s="82"/>
      <c r="AH62" s="82"/>
      <c r="AI62" s="82"/>
      <c r="AJ62" s="82"/>
      <c r="AK62" s="82"/>
      <c r="AL62" s="82"/>
      <c r="AM62" s="83"/>
      <c r="AN62" s="83"/>
      <c r="AO62" s="84" t="str">
        <f t="shared" si="10"/>
        <v>لا</v>
      </c>
      <c r="AP62" s="85" t="str">
        <f t="shared" si="11"/>
        <v/>
      </c>
      <c r="AQ62" s="84" t="str">
        <f t="shared" si="12"/>
        <v>لا</v>
      </c>
      <c r="AR62" s="85" t="str">
        <f t="shared" si="13"/>
        <v/>
      </c>
      <c r="AS62" s="86" t="str">
        <f t="shared" si="14"/>
        <v>لا</v>
      </c>
      <c r="AT62" s="87" t="str">
        <f t="shared" si="15"/>
        <v/>
      </c>
      <c r="AU62" s="88"/>
      <c r="AV62" s="89"/>
      <c r="AW62" s="90"/>
      <c r="AX62" s="91" cm="1">
        <f t="array" ref="AX62">IFERROR(_xlfn.IFS($AB62="عدد الموظفين/الوحدة",S62*$AA62,$AB62='طريقة الحساب'!$B$2,S62*$AA62/الافتراضات!$B$27,$AB62='طريقة الحساب'!$B$3,S62*$AA62/الافتراضات!$B$26,$AB62='طريقة الحساب'!$B$4,S62*$AA62/الافتراضات!$B$28),"")</f>
        <v>0.18920649706002213</v>
      </c>
      <c r="AY62" s="91" cm="1">
        <f t="array" ref="AY62">IFERROR(_xlfn.IFS($AB62="عدد الموظفين/الوحدة",T62*$AA62,$AB62='طريقة الحساب'!$B$2,T62*$AA62/الافتراضات!$B$27,$AB62='طريقة الحساب'!$B$3,T62*$AA62/الافتراضات!$B$26,$AB62='طريقة الحساب'!$B$4,T62*$AA62/الافتراضات!$B$28),"")</f>
        <v>0.19172925035415575</v>
      </c>
      <c r="AZ62" s="91" cm="1">
        <f t="array" ref="AZ62">IFERROR(_xlfn.IFS($AB62="عدد الموظفين/الوحدة",U62*$AA62,$AB62='طريقة الحساب'!$B$2,U62*$AA62/الافتراضات!$B$27,$AB62='طريقة الحساب'!$B$3,U62*$AA62/الافتراضات!$B$26,$AB62='طريقة الحساب'!$B$4,U62*$AA62/الافتراضات!$B$28),"")</f>
        <v>0.19425200364828937</v>
      </c>
      <c r="BA62" s="91" cm="1">
        <f t="array" ref="BA62">IFERROR(_xlfn.IFS($AB62="عدد الموظفين/الوحدة",V62*$AA62,$AB62='طريقة الحساب'!$B$2,V62*$AA62/الافتراضات!$B$27,$AB62='طريقة الحساب'!$B$3,V62*$AA62/الافتراضات!$B$26,$AB62='طريقة الحساب'!$B$4,V62*$AA62/الافتراضات!$B$28),"")</f>
        <v>0.196774756942423</v>
      </c>
      <c r="BB62" s="91" cm="1">
        <f t="array" ref="BB62">IFERROR(_xlfn.IFS($AB62="عدد الموظفين/الوحدة",W62*$AA62,$AB62='طريقة الحساب'!$B$2,W62*$AA62/الافتراضات!$B$27,$AB62='طريقة الحساب'!$B$3,W62*$AA62/الافتراضات!$B$26,$AB62='طريقة الحساب'!$B$4,W62*$AA62/الافتراضات!$B$28),"")</f>
        <v>0.19929751023655662</v>
      </c>
      <c r="BC62" s="91" cm="1">
        <f t="array" ref="BC62">IFERROR(_xlfn.IFS($AB62="عدد الموظفين/الوحدة",X62*$AA62,$AB62='طريقة الحساب'!$B$2,X62*$AA62/الافتراضات!$B$27,$AB62='طريقة الحساب'!$B$3,X62*$AA62/الافتراضات!$B$26,$AB62='طريقة الحساب'!$B$4,X62*$AA62/الافتراضات!$B$28),"")</f>
        <v>0.20182026353069027</v>
      </c>
      <c r="BD62" s="91" cm="1">
        <f t="array" ref="BD62">IFERROR(_xlfn.IFS($AB62="عدد الموظفين/الوحدة",Y62*$AA62,$AB62='طريقة الحساب'!$B$2,Y62*$AA62/الافتراضات!$B$27,$AB62='طريقة الحساب'!$B$3,Y62*$AA62/الافتراضات!$B$26,$AB62='طريقة الحساب'!$B$4,Y62*$AA62/الافتراضات!$B$28),"")</f>
        <v>0.20182026353069027</v>
      </c>
      <c r="BE62" s="91" cm="1">
        <f t="array" ref="BE62">IFERROR(_xlfn.IFS($AB62="عدد الموظفين/الوحدة",Z62*$AA62,$AB62='طريقة الحساب'!$B$2,Z62*$AA62/الافتراضات!$B$27,$AB62='طريقة الحساب'!$B$3,Z62*$AA62/الافتراضات!$B$26,$AB62='طريقة الحساب'!$B$4,Z62*$AA62/الافتراضات!$B$28),"")</f>
        <v>0</v>
      </c>
      <c r="BF62" s="92"/>
    </row>
    <row r="63" spans="2:58" x14ac:dyDescent="0.35">
      <c r="B63" s="124" t="s">
        <v>87</v>
      </c>
      <c r="C63" s="131" t="s">
        <v>88</v>
      </c>
      <c r="D63" s="131" t="s">
        <v>90</v>
      </c>
      <c r="E63" s="138" t="s">
        <v>91</v>
      </c>
      <c r="F63" s="125" t="s">
        <v>145</v>
      </c>
      <c r="G63" s="126" t="s">
        <v>84</v>
      </c>
      <c r="H63" s="127"/>
      <c r="I63" s="132">
        <v>240</v>
      </c>
      <c r="J63" s="133">
        <v>240</v>
      </c>
      <c r="K63" s="133">
        <v>240</v>
      </c>
      <c r="L63" s="133">
        <v>240</v>
      </c>
      <c r="M63" s="133">
        <v>240</v>
      </c>
      <c r="N63" s="133">
        <v>240</v>
      </c>
      <c r="O63" s="133">
        <v>240</v>
      </c>
      <c r="P63" s="139">
        <v>15</v>
      </c>
      <c r="Q63" s="134" t="s">
        <v>45</v>
      </c>
      <c r="R63" s="128"/>
      <c r="S63" s="135">
        <v>240</v>
      </c>
      <c r="T63" s="135">
        <v>240</v>
      </c>
      <c r="U63" s="135">
        <v>240</v>
      </c>
      <c r="V63" s="135">
        <v>240</v>
      </c>
      <c r="W63" s="135">
        <v>240</v>
      </c>
      <c r="X63" s="135">
        <v>240</v>
      </c>
      <c r="Y63" s="135">
        <v>240</v>
      </c>
      <c r="Z63" s="79"/>
      <c r="AA63" s="135">
        <v>15</v>
      </c>
      <c r="AB63" s="136" t="s">
        <v>45</v>
      </c>
      <c r="AC63" s="80"/>
      <c r="AD63" s="81"/>
      <c r="AE63" s="82"/>
      <c r="AF63" s="82"/>
      <c r="AG63" s="82"/>
      <c r="AH63" s="82"/>
      <c r="AI63" s="82"/>
      <c r="AJ63" s="82"/>
      <c r="AK63" s="82"/>
      <c r="AL63" s="82"/>
      <c r="AM63" s="83"/>
      <c r="AN63" s="83"/>
      <c r="AO63" s="84" t="str">
        <f t="shared" si="10"/>
        <v>لا</v>
      </c>
      <c r="AP63" s="85" t="str">
        <f t="shared" si="11"/>
        <v/>
      </c>
      <c r="AQ63" s="84" t="str">
        <f t="shared" si="12"/>
        <v>لا</v>
      </c>
      <c r="AR63" s="85" t="str">
        <f t="shared" si="13"/>
        <v/>
      </c>
      <c r="AS63" s="86" t="str">
        <f t="shared" si="14"/>
        <v>لا</v>
      </c>
      <c r="AT63" s="87" t="str">
        <f t="shared" si="15"/>
        <v/>
      </c>
      <c r="AU63" s="88"/>
      <c r="AV63" s="89"/>
      <c r="AW63" s="90"/>
      <c r="AX63" s="91" cm="1">
        <f t="array" ref="AX63">IFERROR(_xlfn.IFS($AB63="عدد الموظفين/الوحدة",S63*$AA63,$AB63='طريقة الحساب'!$B$2,S63*$AA63/الافتراضات!$B$27,$AB63='طريقة الحساب'!$B$3,S63*$AA63/الافتراضات!$B$26,$AB63='طريقة الحساب'!$B$4,S63*$AA63/الافتراضات!$B$28),"")</f>
        <v>6.0546079059207079E-2</v>
      </c>
      <c r="AY63" s="91" cm="1">
        <f t="array" ref="AY63">IFERROR(_xlfn.IFS($AB63="عدد الموظفين/الوحدة",T63*$AA63,$AB63='طريقة الحساب'!$B$2,T63*$AA63/الافتراضات!$B$27,$AB63='طريقة الحساب'!$B$3,T63*$AA63/الافتراضات!$B$26,$AB63='طريقة الحساب'!$B$4,T63*$AA63/الافتراضات!$B$28),"")</f>
        <v>6.0546079059207079E-2</v>
      </c>
      <c r="AZ63" s="91" cm="1">
        <f t="array" ref="AZ63">IFERROR(_xlfn.IFS($AB63="عدد الموظفين/الوحدة",U63*$AA63,$AB63='طريقة الحساب'!$B$2,U63*$AA63/الافتراضات!$B$27,$AB63='طريقة الحساب'!$B$3,U63*$AA63/الافتراضات!$B$26,$AB63='طريقة الحساب'!$B$4,U63*$AA63/الافتراضات!$B$28),"")</f>
        <v>6.0546079059207079E-2</v>
      </c>
      <c r="BA63" s="91" cm="1">
        <f t="array" ref="BA63">IFERROR(_xlfn.IFS($AB63="عدد الموظفين/الوحدة",V63*$AA63,$AB63='طريقة الحساب'!$B$2,V63*$AA63/الافتراضات!$B$27,$AB63='طريقة الحساب'!$B$3,V63*$AA63/الافتراضات!$B$26,$AB63='طريقة الحساب'!$B$4,V63*$AA63/الافتراضات!$B$28),"")</f>
        <v>6.0546079059207079E-2</v>
      </c>
      <c r="BB63" s="91" cm="1">
        <f t="array" ref="BB63">IFERROR(_xlfn.IFS($AB63="عدد الموظفين/الوحدة",W63*$AA63,$AB63='طريقة الحساب'!$B$2,W63*$AA63/الافتراضات!$B$27,$AB63='طريقة الحساب'!$B$3,W63*$AA63/الافتراضات!$B$26,$AB63='طريقة الحساب'!$B$4,W63*$AA63/الافتراضات!$B$28),"")</f>
        <v>6.0546079059207079E-2</v>
      </c>
      <c r="BC63" s="91" cm="1">
        <f t="array" ref="BC63">IFERROR(_xlfn.IFS($AB63="عدد الموظفين/الوحدة",X63*$AA63,$AB63='طريقة الحساب'!$B$2,X63*$AA63/الافتراضات!$B$27,$AB63='طريقة الحساب'!$B$3,X63*$AA63/الافتراضات!$B$26,$AB63='طريقة الحساب'!$B$4,X63*$AA63/الافتراضات!$B$28),"")</f>
        <v>6.0546079059207079E-2</v>
      </c>
      <c r="BD63" s="91" cm="1">
        <f t="array" ref="BD63">IFERROR(_xlfn.IFS($AB63="عدد الموظفين/الوحدة",Y63*$AA63,$AB63='طريقة الحساب'!$B$2,Y63*$AA63/الافتراضات!$B$27,$AB63='طريقة الحساب'!$B$3,Y63*$AA63/الافتراضات!$B$26,$AB63='طريقة الحساب'!$B$4,Y63*$AA63/الافتراضات!$B$28),"")</f>
        <v>6.0546079059207079E-2</v>
      </c>
      <c r="BE63" s="91" cm="1">
        <f t="array" ref="BE63">IFERROR(_xlfn.IFS($AB63="عدد الموظفين/الوحدة",Z63*$AA63,$AB63='طريقة الحساب'!$B$2,Z63*$AA63/الافتراضات!$B$27,$AB63='طريقة الحساب'!$B$3,Z63*$AA63/الافتراضات!$B$26,$AB63='طريقة الحساب'!$B$4,Z63*$AA63/الافتراضات!$B$28),"")</f>
        <v>0</v>
      </c>
      <c r="BF63" s="92"/>
    </row>
    <row r="64" spans="2:58" x14ac:dyDescent="0.35">
      <c r="B64" s="124" t="s">
        <v>87</v>
      </c>
      <c r="C64" s="131" t="s">
        <v>88</v>
      </c>
      <c r="D64" s="131" t="s">
        <v>90</v>
      </c>
      <c r="E64" s="138" t="s">
        <v>91</v>
      </c>
      <c r="F64" s="125" t="s">
        <v>146</v>
      </c>
      <c r="G64" s="126" t="s">
        <v>84</v>
      </c>
      <c r="H64" s="127"/>
      <c r="I64" s="132">
        <v>390</v>
      </c>
      <c r="J64" s="133">
        <v>390</v>
      </c>
      <c r="K64" s="133">
        <v>390</v>
      </c>
      <c r="L64" s="133">
        <v>390</v>
      </c>
      <c r="M64" s="133">
        <v>390</v>
      </c>
      <c r="N64" s="133">
        <v>390</v>
      </c>
      <c r="O64" s="133">
        <v>390</v>
      </c>
      <c r="P64" s="139">
        <v>25</v>
      </c>
      <c r="Q64" s="134" t="s">
        <v>45</v>
      </c>
      <c r="R64" s="128"/>
      <c r="S64" s="135">
        <v>390</v>
      </c>
      <c r="T64" s="135">
        <v>390</v>
      </c>
      <c r="U64" s="135">
        <v>390</v>
      </c>
      <c r="V64" s="135">
        <v>390</v>
      </c>
      <c r="W64" s="135">
        <v>390</v>
      </c>
      <c r="X64" s="135">
        <v>390</v>
      </c>
      <c r="Y64" s="135">
        <v>390</v>
      </c>
      <c r="Z64" s="79"/>
      <c r="AA64" s="135">
        <v>25</v>
      </c>
      <c r="AB64" s="136" t="s">
        <v>45</v>
      </c>
      <c r="AC64" s="80"/>
      <c r="AD64" s="81"/>
      <c r="AE64" s="82"/>
      <c r="AF64" s="82"/>
      <c r="AG64" s="82"/>
      <c r="AH64" s="82"/>
      <c r="AI64" s="82"/>
      <c r="AJ64" s="82"/>
      <c r="AK64" s="82"/>
      <c r="AL64" s="82"/>
      <c r="AM64" s="83"/>
      <c r="AN64" s="83"/>
      <c r="AO64" s="84" t="str">
        <f t="shared" si="10"/>
        <v>لا</v>
      </c>
      <c r="AP64" s="85" t="str">
        <f t="shared" si="11"/>
        <v/>
      </c>
      <c r="AQ64" s="84" t="str">
        <f t="shared" si="12"/>
        <v>لا</v>
      </c>
      <c r="AR64" s="85" t="str">
        <f t="shared" si="13"/>
        <v/>
      </c>
      <c r="AS64" s="86" t="str">
        <f t="shared" si="14"/>
        <v>لا</v>
      </c>
      <c r="AT64" s="87" t="str">
        <f t="shared" si="15"/>
        <v/>
      </c>
      <c r="AU64" s="88"/>
      <c r="AV64" s="89"/>
      <c r="AW64" s="90"/>
      <c r="AX64" s="91" cm="1">
        <f t="array" ref="AX64">IFERROR(_xlfn.IFS($AB64="عدد الموظفين/الوحدة",S64*$AA64,$AB64='طريقة الحساب'!$B$2,S64*$AA64/الافتراضات!$B$27,$AB64='طريقة الحساب'!$B$3,S64*$AA64/الافتراضات!$B$26,$AB64='طريقة الحساب'!$B$4,S64*$AA64/الافتراضات!$B$28),"")</f>
        <v>0.16397896411868584</v>
      </c>
      <c r="AY64" s="91" cm="1">
        <f t="array" ref="AY64">IFERROR(_xlfn.IFS($AB64="عدد الموظفين/الوحدة",T64*$AA64,$AB64='طريقة الحساب'!$B$2,T64*$AA64/الافتراضات!$B$27,$AB64='طريقة الحساب'!$B$3,T64*$AA64/الافتراضات!$B$26,$AB64='طريقة الحساب'!$B$4,T64*$AA64/الافتراضات!$B$28),"")</f>
        <v>0.16397896411868584</v>
      </c>
      <c r="AZ64" s="91" cm="1">
        <f t="array" ref="AZ64">IFERROR(_xlfn.IFS($AB64="عدد الموظفين/الوحدة",U64*$AA64,$AB64='طريقة الحساب'!$B$2,U64*$AA64/الافتراضات!$B$27,$AB64='طريقة الحساب'!$B$3,U64*$AA64/الافتراضات!$B$26,$AB64='طريقة الحساب'!$B$4,U64*$AA64/الافتراضات!$B$28),"")</f>
        <v>0.16397896411868584</v>
      </c>
      <c r="BA64" s="91" cm="1">
        <f t="array" ref="BA64">IFERROR(_xlfn.IFS($AB64="عدد الموظفين/الوحدة",V64*$AA64,$AB64='طريقة الحساب'!$B$2,V64*$AA64/الافتراضات!$B$27,$AB64='طريقة الحساب'!$B$3,V64*$AA64/الافتراضات!$B$26,$AB64='طريقة الحساب'!$B$4,V64*$AA64/الافتراضات!$B$28),"")</f>
        <v>0.16397896411868584</v>
      </c>
      <c r="BB64" s="91" cm="1">
        <f t="array" ref="BB64">IFERROR(_xlfn.IFS($AB64="عدد الموظفين/الوحدة",W64*$AA64,$AB64='طريقة الحساب'!$B$2,W64*$AA64/الافتراضات!$B$27,$AB64='طريقة الحساب'!$B$3,W64*$AA64/الافتراضات!$B$26,$AB64='طريقة الحساب'!$B$4,W64*$AA64/الافتراضات!$B$28),"")</f>
        <v>0.16397896411868584</v>
      </c>
      <c r="BC64" s="91" cm="1">
        <f t="array" ref="BC64">IFERROR(_xlfn.IFS($AB64="عدد الموظفين/الوحدة",X64*$AA64,$AB64='طريقة الحساب'!$B$2,X64*$AA64/الافتراضات!$B$27,$AB64='طريقة الحساب'!$B$3,X64*$AA64/الافتراضات!$B$26,$AB64='طريقة الحساب'!$B$4,X64*$AA64/الافتراضات!$B$28),"")</f>
        <v>0.16397896411868584</v>
      </c>
      <c r="BD64" s="91" cm="1">
        <f t="array" ref="BD64">IFERROR(_xlfn.IFS($AB64="عدد الموظفين/الوحدة",Y64*$AA64,$AB64='طريقة الحساب'!$B$2,Y64*$AA64/الافتراضات!$B$27,$AB64='طريقة الحساب'!$B$3,Y64*$AA64/الافتراضات!$B$26,$AB64='طريقة الحساب'!$B$4,Y64*$AA64/الافتراضات!$B$28),"")</f>
        <v>0.16397896411868584</v>
      </c>
      <c r="BE64" s="91" cm="1">
        <f t="array" ref="BE64">IFERROR(_xlfn.IFS($AB64="عدد الموظفين/الوحدة",Z64*$AA64,$AB64='طريقة الحساب'!$B$2,Z64*$AA64/الافتراضات!$B$27,$AB64='طريقة الحساب'!$B$3,Z64*$AA64/الافتراضات!$B$26,$AB64='طريقة الحساب'!$B$4,Z64*$AA64/الافتراضات!$B$28),"")</f>
        <v>0</v>
      </c>
      <c r="BF64" s="92"/>
    </row>
    <row r="65" spans="2:58" x14ac:dyDescent="0.35">
      <c r="B65" s="124" t="s">
        <v>87</v>
      </c>
      <c r="C65" s="131" t="s">
        <v>88</v>
      </c>
      <c r="D65" s="131" t="s">
        <v>90</v>
      </c>
      <c r="E65" s="138" t="s">
        <v>91</v>
      </c>
      <c r="F65" s="125" t="s">
        <v>147</v>
      </c>
      <c r="G65" s="126" t="s">
        <v>84</v>
      </c>
      <c r="H65" s="127"/>
      <c r="I65" s="132">
        <v>2400</v>
      </c>
      <c r="J65" s="133">
        <v>2400</v>
      </c>
      <c r="K65" s="133">
        <v>2400</v>
      </c>
      <c r="L65" s="133">
        <v>2400</v>
      </c>
      <c r="M65" s="133">
        <v>2400</v>
      </c>
      <c r="N65" s="133">
        <v>2400</v>
      </c>
      <c r="O65" s="133">
        <v>2400</v>
      </c>
      <c r="P65" s="139">
        <v>20</v>
      </c>
      <c r="Q65" s="134" t="s">
        <v>45</v>
      </c>
      <c r="R65" s="128"/>
      <c r="S65" s="135">
        <v>2400</v>
      </c>
      <c r="T65" s="135">
        <v>2400</v>
      </c>
      <c r="U65" s="135">
        <v>2400</v>
      </c>
      <c r="V65" s="135">
        <v>2400</v>
      </c>
      <c r="W65" s="135">
        <v>2400</v>
      </c>
      <c r="X65" s="135">
        <v>2400</v>
      </c>
      <c r="Y65" s="135">
        <v>2400</v>
      </c>
      <c r="Z65" s="79"/>
      <c r="AA65" s="135">
        <v>20</v>
      </c>
      <c r="AB65" s="136" t="s">
        <v>45</v>
      </c>
      <c r="AC65" s="80"/>
      <c r="AD65" s="81"/>
      <c r="AE65" s="82"/>
      <c r="AF65" s="82"/>
      <c r="AG65" s="82"/>
      <c r="AH65" s="82"/>
      <c r="AI65" s="82"/>
      <c r="AJ65" s="82"/>
      <c r="AK65" s="82"/>
      <c r="AL65" s="82"/>
      <c r="AM65" s="83"/>
      <c r="AN65" s="83"/>
      <c r="AO65" s="84" t="str">
        <f t="shared" si="10"/>
        <v>لا</v>
      </c>
      <c r="AP65" s="85" t="str">
        <f t="shared" si="11"/>
        <v/>
      </c>
      <c r="AQ65" s="84" t="str">
        <f t="shared" si="12"/>
        <v>لا</v>
      </c>
      <c r="AR65" s="85" t="str">
        <f t="shared" si="13"/>
        <v/>
      </c>
      <c r="AS65" s="86" t="str">
        <f t="shared" si="14"/>
        <v>لا</v>
      </c>
      <c r="AT65" s="87" t="str">
        <f t="shared" si="15"/>
        <v/>
      </c>
      <c r="AU65" s="88"/>
      <c r="AV65" s="89"/>
      <c r="AW65" s="90"/>
      <c r="AX65" s="91" cm="1">
        <f t="array" ref="AX65">IFERROR(_xlfn.IFS($AB65="عدد الموظفين/الوحدة",S65*$AA65,$AB65='طريقة الحساب'!$B$2,S65*$AA65/الافتراضات!$B$27,$AB65='طريقة الحساب'!$B$3,S65*$AA65/الافتراضات!$B$26,$AB65='طريقة الحساب'!$B$4,S65*$AA65/الافتراضات!$B$28),"")</f>
        <v>0.80728105412276108</v>
      </c>
      <c r="AY65" s="91" cm="1">
        <f t="array" ref="AY65">IFERROR(_xlfn.IFS($AB65="عدد الموظفين/الوحدة",T65*$AA65,$AB65='طريقة الحساب'!$B$2,T65*$AA65/الافتراضات!$B$27,$AB65='طريقة الحساب'!$B$3,T65*$AA65/الافتراضات!$B$26,$AB65='طريقة الحساب'!$B$4,T65*$AA65/الافتراضات!$B$28),"")</f>
        <v>0.80728105412276108</v>
      </c>
      <c r="AZ65" s="91" cm="1">
        <f t="array" ref="AZ65">IFERROR(_xlfn.IFS($AB65="عدد الموظفين/الوحدة",U65*$AA65,$AB65='طريقة الحساب'!$B$2,U65*$AA65/الافتراضات!$B$27,$AB65='طريقة الحساب'!$B$3,U65*$AA65/الافتراضات!$B$26,$AB65='طريقة الحساب'!$B$4,U65*$AA65/الافتراضات!$B$28),"")</f>
        <v>0.80728105412276108</v>
      </c>
      <c r="BA65" s="91" cm="1">
        <f t="array" ref="BA65">IFERROR(_xlfn.IFS($AB65="عدد الموظفين/الوحدة",V65*$AA65,$AB65='طريقة الحساب'!$B$2,V65*$AA65/الافتراضات!$B$27,$AB65='طريقة الحساب'!$B$3,V65*$AA65/الافتراضات!$B$26,$AB65='طريقة الحساب'!$B$4,V65*$AA65/الافتراضات!$B$28),"")</f>
        <v>0.80728105412276108</v>
      </c>
      <c r="BB65" s="91" cm="1">
        <f t="array" ref="BB65">IFERROR(_xlfn.IFS($AB65="عدد الموظفين/الوحدة",W65*$AA65,$AB65='طريقة الحساب'!$B$2,W65*$AA65/الافتراضات!$B$27,$AB65='طريقة الحساب'!$B$3,W65*$AA65/الافتراضات!$B$26,$AB65='طريقة الحساب'!$B$4,W65*$AA65/الافتراضات!$B$28),"")</f>
        <v>0.80728105412276108</v>
      </c>
      <c r="BC65" s="91" cm="1">
        <f t="array" ref="BC65">IFERROR(_xlfn.IFS($AB65="عدد الموظفين/الوحدة",X65*$AA65,$AB65='طريقة الحساب'!$B$2,X65*$AA65/الافتراضات!$B$27,$AB65='طريقة الحساب'!$B$3,X65*$AA65/الافتراضات!$B$26,$AB65='طريقة الحساب'!$B$4,X65*$AA65/الافتراضات!$B$28),"")</f>
        <v>0.80728105412276108</v>
      </c>
      <c r="BD65" s="91" cm="1">
        <f t="array" ref="BD65">IFERROR(_xlfn.IFS($AB65="عدد الموظفين/الوحدة",Y65*$AA65,$AB65='طريقة الحساب'!$B$2,Y65*$AA65/الافتراضات!$B$27,$AB65='طريقة الحساب'!$B$3,Y65*$AA65/الافتراضات!$B$26,$AB65='طريقة الحساب'!$B$4,Y65*$AA65/الافتراضات!$B$28),"")</f>
        <v>0.80728105412276108</v>
      </c>
      <c r="BE65" s="91" cm="1">
        <f t="array" ref="BE65">IFERROR(_xlfn.IFS($AB65="عدد الموظفين/الوحدة",Z65*$AA65,$AB65='طريقة الحساب'!$B$2,Z65*$AA65/الافتراضات!$B$27,$AB65='طريقة الحساب'!$B$3,Z65*$AA65/الافتراضات!$B$26,$AB65='طريقة الحساب'!$B$4,Z65*$AA65/الافتراضات!$B$28),"")</f>
        <v>0</v>
      </c>
      <c r="BF65" s="92"/>
    </row>
    <row r="66" spans="2:58" x14ac:dyDescent="0.35">
      <c r="B66" s="124" t="s">
        <v>87</v>
      </c>
      <c r="C66" s="131" t="s">
        <v>88</v>
      </c>
      <c r="D66" s="131" t="s">
        <v>90</v>
      </c>
      <c r="E66" s="138" t="s">
        <v>91</v>
      </c>
      <c r="F66" s="125" t="s">
        <v>148</v>
      </c>
      <c r="G66" s="126" t="s">
        <v>84</v>
      </c>
      <c r="H66" s="127"/>
      <c r="I66" s="132">
        <v>1</v>
      </c>
      <c r="J66" s="133">
        <v>1</v>
      </c>
      <c r="K66" s="133">
        <v>1</v>
      </c>
      <c r="L66" s="133">
        <v>1</v>
      </c>
      <c r="M66" s="133">
        <v>1</v>
      </c>
      <c r="N66" s="133">
        <v>1</v>
      </c>
      <c r="O66" s="133">
        <v>1</v>
      </c>
      <c r="P66" s="139">
        <v>1</v>
      </c>
      <c r="Q66" s="134" t="s">
        <v>46</v>
      </c>
      <c r="R66" s="128"/>
      <c r="S66" s="135">
        <v>1</v>
      </c>
      <c r="T66" s="135">
        <v>1</v>
      </c>
      <c r="U66" s="135">
        <v>1</v>
      </c>
      <c r="V66" s="135">
        <v>1</v>
      </c>
      <c r="W66" s="135">
        <v>1</v>
      </c>
      <c r="X66" s="135">
        <v>1</v>
      </c>
      <c r="Y66" s="135">
        <v>1</v>
      </c>
      <c r="Z66" s="79"/>
      <c r="AA66" s="135">
        <v>1</v>
      </c>
      <c r="AB66" s="136" t="s">
        <v>46</v>
      </c>
      <c r="AC66" s="80"/>
      <c r="AD66" s="81"/>
      <c r="AE66" s="82"/>
      <c r="AF66" s="82"/>
      <c r="AG66" s="82"/>
      <c r="AH66" s="82"/>
      <c r="AI66" s="82"/>
      <c r="AJ66" s="82"/>
      <c r="AK66" s="82"/>
      <c r="AL66" s="82"/>
      <c r="AM66" s="83"/>
      <c r="AN66" s="83"/>
      <c r="AO66" s="84" t="str">
        <f t="shared" si="10"/>
        <v>لا</v>
      </c>
      <c r="AP66" s="85" t="str">
        <f t="shared" si="11"/>
        <v/>
      </c>
      <c r="AQ66" s="84" t="str">
        <f t="shared" si="12"/>
        <v>لا</v>
      </c>
      <c r="AR66" s="85" t="str">
        <f t="shared" si="13"/>
        <v/>
      </c>
      <c r="AS66" s="86" t="str">
        <f t="shared" si="14"/>
        <v>لا</v>
      </c>
      <c r="AT66" s="87" t="str">
        <f t="shared" si="15"/>
        <v/>
      </c>
      <c r="AU66" s="88"/>
      <c r="AV66" s="89"/>
      <c r="AW66" s="90"/>
      <c r="AX66" s="91" cm="1">
        <f t="array" ref="AX66">IFERROR(_xlfn.IFS($AB66="عدد الموظفين/الوحدة",S66*$AA66,$AB66='طريقة الحساب'!$B$2,S66*$AA66/الافتراضات!$B$27,$AB66='طريقة الحساب'!$B$3,S66*$AA66/الافتراضات!$B$26,$AB66='طريقة الحساب'!$B$4,S66*$AA66/الافتراضات!$B$28),"")</f>
        <v>5.1813471502590676E-3</v>
      </c>
      <c r="AY66" s="91" cm="1">
        <f t="array" ref="AY66">IFERROR(_xlfn.IFS($AB66="عدد الموظفين/الوحدة",T66*$AA66,$AB66='طريقة الحساب'!$B$2,T66*$AA66/الافتراضات!$B$27,$AB66='طريقة الحساب'!$B$3,T66*$AA66/الافتراضات!$B$26,$AB66='طريقة الحساب'!$B$4,T66*$AA66/الافتراضات!$B$28),"")</f>
        <v>5.1813471502590676E-3</v>
      </c>
      <c r="AZ66" s="91" cm="1">
        <f t="array" ref="AZ66">IFERROR(_xlfn.IFS($AB66="عدد الموظفين/الوحدة",U66*$AA66,$AB66='طريقة الحساب'!$B$2,U66*$AA66/الافتراضات!$B$27,$AB66='طريقة الحساب'!$B$3,U66*$AA66/الافتراضات!$B$26,$AB66='طريقة الحساب'!$B$4,U66*$AA66/الافتراضات!$B$28),"")</f>
        <v>5.1813471502590676E-3</v>
      </c>
      <c r="BA66" s="91" cm="1">
        <f t="array" ref="BA66">IFERROR(_xlfn.IFS($AB66="عدد الموظفين/الوحدة",V66*$AA66,$AB66='طريقة الحساب'!$B$2,V66*$AA66/الافتراضات!$B$27,$AB66='طريقة الحساب'!$B$3,V66*$AA66/الافتراضات!$B$26,$AB66='طريقة الحساب'!$B$4,V66*$AA66/الافتراضات!$B$28),"")</f>
        <v>5.1813471502590676E-3</v>
      </c>
      <c r="BB66" s="91" cm="1">
        <f t="array" ref="BB66">IFERROR(_xlfn.IFS($AB66="عدد الموظفين/الوحدة",W66*$AA66,$AB66='طريقة الحساب'!$B$2,W66*$AA66/الافتراضات!$B$27,$AB66='طريقة الحساب'!$B$3,W66*$AA66/الافتراضات!$B$26,$AB66='طريقة الحساب'!$B$4,W66*$AA66/الافتراضات!$B$28),"")</f>
        <v>5.1813471502590676E-3</v>
      </c>
      <c r="BC66" s="91" cm="1">
        <f t="array" ref="BC66">IFERROR(_xlfn.IFS($AB66="عدد الموظفين/الوحدة",X66*$AA66,$AB66='طريقة الحساب'!$B$2,X66*$AA66/الافتراضات!$B$27,$AB66='طريقة الحساب'!$B$3,X66*$AA66/الافتراضات!$B$26,$AB66='طريقة الحساب'!$B$4,X66*$AA66/الافتراضات!$B$28),"")</f>
        <v>5.1813471502590676E-3</v>
      </c>
      <c r="BD66" s="91" cm="1">
        <f t="array" ref="BD66">IFERROR(_xlfn.IFS($AB66="عدد الموظفين/الوحدة",Y66*$AA66,$AB66='طريقة الحساب'!$B$2,Y66*$AA66/الافتراضات!$B$27,$AB66='طريقة الحساب'!$B$3,Y66*$AA66/الافتراضات!$B$26,$AB66='طريقة الحساب'!$B$4,Y66*$AA66/الافتراضات!$B$28),"")</f>
        <v>5.1813471502590676E-3</v>
      </c>
      <c r="BE66" s="91" cm="1">
        <f t="array" ref="BE66">IFERROR(_xlfn.IFS($AB66="عدد الموظفين/الوحدة",Z66*$AA66,$AB66='طريقة الحساب'!$B$2,Z66*$AA66/الافتراضات!$B$27,$AB66='طريقة الحساب'!$B$3,Z66*$AA66/الافتراضات!$B$26,$AB66='طريقة الحساب'!$B$4,Z66*$AA66/الافتراضات!$B$28),"")</f>
        <v>0</v>
      </c>
      <c r="BF66" s="92"/>
    </row>
    <row r="67" spans="2:58" x14ac:dyDescent="0.35">
      <c r="B67" s="124" t="s">
        <v>87</v>
      </c>
      <c r="C67" s="131" t="s">
        <v>88</v>
      </c>
      <c r="D67" s="131" t="s">
        <v>90</v>
      </c>
      <c r="E67" s="138" t="s">
        <v>91</v>
      </c>
      <c r="F67" s="125" t="s">
        <v>149</v>
      </c>
      <c r="G67" s="126" t="s">
        <v>84</v>
      </c>
      <c r="H67" s="127"/>
      <c r="I67" s="132">
        <v>1</v>
      </c>
      <c r="J67" s="133">
        <v>1</v>
      </c>
      <c r="K67" s="133">
        <v>1</v>
      </c>
      <c r="L67" s="133">
        <v>1</v>
      </c>
      <c r="M67" s="133">
        <v>1</v>
      </c>
      <c r="N67" s="133">
        <v>1</v>
      </c>
      <c r="O67" s="133">
        <v>1</v>
      </c>
      <c r="P67" s="139">
        <v>1</v>
      </c>
      <c r="Q67" s="134" t="s">
        <v>46</v>
      </c>
      <c r="R67" s="128"/>
      <c r="S67" s="135">
        <v>1</v>
      </c>
      <c r="T67" s="135">
        <v>1</v>
      </c>
      <c r="U67" s="135">
        <v>1</v>
      </c>
      <c r="V67" s="135">
        <v>1</v>
      </c>
      <c r="W67" s="135">
        <v>1</v>
      </c>
      <c r="X67" s="135">
        <v>1</v>
      </c>
      <c r="Y67" s="135">
        <v>1</v>
      </c>
      <c r="Z67" s="79"/>
      <c r="AA67" s="135">
        <v>1</v>
      </c>
      <c r="AB67" s="136" t="s">
        <v>46</v>
      </c>
      <c r="AC67" s="80"/>
      <c r="AD67" s="81"/>
      <c r="AE67" s="82"/>
      <c r="AF67" s="82"/>
      <c r="AG67" s="82"/>
      <c r="AH67" s="82"/>
      <c r="AI67" s="82"/>
      <c r="AJ67" s="82"/>
      <c r="AK67" s="82"/>
      <c r="AL67" s="82"/>
      <c r="AM67" s="83"/>
      <c r="AN67" s="83"/>
      <c r="AO67" s="84" t="str">
        <f t="shared" si="10"/>
        <v>لا</v>
      </c>
      <c r="AP67" s="85" t="str">
        <f t="shared" si="11"/>
        <v/>
      </c>
      <c r="AQ67" s="84" t="str">
        <f t="shared" si="12"/>
        <v>لا</v>
      </c>
      <c r="AR67" s="85" t="str">
        <f t="shared" si="13"/>
        <v/>
      </c>
      <c r="AS67" s="86" t="str">
        <f t="shared" si="14"/>
        <v>لا</v>
      </c>
      <c r="AT67" s="87" t="str">
        <f t="shared" si="15"/>
        <v/>
      </c>
      <c r="AU67" s="88"/>
      <c r="AV67" s="89"/>
      <c r="AW67" s="90"/>
      <c r="AX67" s="91" cm="1">
        <f t="array" ref="AX67">IFERROR(_xlfn.IFS($AB67="عدد الموظفين/الوحدة",S67*$AA67,$AB67='طريقة الحساب'!$B$2,S67*$AA67/الافتراضات!$B$27,$AB67='طريقة الحساب'!$B$3,S67*$AA67/الافتراضات!$B$26,$AB67='طريقة الحساب'!$B$4,S67*$AA67/الافتراضات!$B$28),"")</f>
        <v>5.1813471502590676E-3</v>
      </c>
      <c r="AY67" s="91" cm="1">
        <f t="array" ref="AY67">IFERROR(_xlfn.IFS($AB67="عدد الموظفين/الوحدة",T67*$AA67,$AB67='طريقة الحساب'!$B$2,T67*$AA67/الافتراضات!$B$27,$AB67='طريقة الحساب'!$B$3,T67*$AA67/الافتراضات!$B$26,$AB67='طريقة الحساب'!$B$4,T67*$AA67/الافتراضات!$B$28),"")</f>
        <v>5.1813471502590676E-3</v>
      </c>
      <c r="AZ67" s="91" cm="1">
        <f t="array" ref="AZ67">IFERROR(_xlfn.IFS($AB67="عدد الموظفين/الوحدة",U67*$AA67,$AB67='طريقة الحساب'!$B$2,U67*$AA67/الافتراضات!$B$27,$AB67='طريقة الحساب'!$B$3,U67*$AA67/الافتراضات!$B$26,$AB67='طريقة الحساب'!$B$4,U67*$AA67/الافتراضات!$B$28),"")</f>
        <v>5.1813471502590676E-3</v>
      </c>
      <c r="BA67" s="91" cm="1">
        <f t="array" ref="BA67">IFERROR(_xlfn.IFS($AB67="عدد الموظفين/الوحدة",V67*$AA67,$AB67='طريقة الحساب'!$B$2,V67*$AA67/الافتراضات!$B$27,$AB67='طريقة الحساب'!$B$3,V67*$AA67/الافتراضات!$B$26,$AB67='طريقة الحساب'!$B$4,V67*$AA67/الافتراضات!$B$28),"")</f>
        <v>5.1813471502590676E-3</v>
      </c>
      <c r="BB67" s="91" cm="1">
        <f t="array" ref="BB67">IFERROR(_xlfn.IFS($AB67="عدد الموظفين/الوحدة",W67*$AA67,$AB67='طريقة الحساب'!$B$2,W67*$AA67/الافتراضات!$B$27,$AB67='طريقة الحساب'!$B$3,W67*$AA67/الافتراضات!$B$26,$AB67='طريقة الحساب'!$B$4,W67*$AA67/الافتراضات!$B$28),"")</f>
        <v>5.1813471502590676E-3</v>
      </c>
      <c r="BC67" s="91" cm="1">
        <f t="array" ref="BC67">IFERROR(_xlfn.IFS($AB67="عدد الموظفين/الوحدة",X67*$AA67,$AB67='طريقة الحساب'!$B$2,X67*$AA67/الافتراضات!$B$27,$AB67='طريقة الحساب'!$B$3,X67*$AA67/الافتراضات!$B$26,$AB67='طريقة الحساب'!$B$4,X67*$AA67/الافتراضات!$B$28),"")</f>
        <v>5.1813471502590676E-3</v>
      </c>
      <c r="BD67" s="91" cm="1">
        <f t="array" ref="BD67">IFERROR(_xlfn.IFS($AB67="عدد الموظفين/الوحدة",Y67*$AA67,$AB67='طريقة الحساب'!$B$2,Y67*$AA67/الافتراضات!$B$27,$AB67='طريقة الحساب'!$B$3,Y67*$AA67/الافتراضات!$B$26,$AB67='طريقة الحساب'!$B$4,Y67*$AA67/الافتراضات!$B$28),"")</f>
        <v>5.1813471502590676E-3</v>
      </c>
      <c r="BE67" s="91" cm="1">
        <f t="array" ref="BE67">IFERROR(_xlfn.IFS($AB67="عدد الموظفين/الوحدة",Z67*$AA67,$AB67='طريقة الحساب'!$B$2,Z67*$AA67/الافتراضات!$B$27,$AB67='طريقة الحساب'!$B$3,Z67*$AA67/الافتراضات!$B$26,$AB67='طريقة الحساب'!$B$4,Z67*$AA67/الافتراضات!$B$28),"")</f>
        <v>0</v>
      </c>
      <c r="BF67" s="92"/>
    </row>
    <row r="68" spans="2:58" x14ac:dyDescent="0.35">
      <c r="B68" s="124" t="s">
        <v>87</v>
      </c>
      <c r="C68" s="131" t="s">
        <v>88</v>
      </c>
      <c r="D68" s="131" t="s">
        <v>90</v>
      </c>
      <c r="E68" s="138" t="s">
        <v>91</v>
      </c>
      <c r="F68" s="125" t="s">
        <v>150</v>
      </c>
      <c r="G68" s="126" t="s">
        <v>84</v>
      </c>
      <c r="H68" s="127"/>
      <c r="I68" s="132">
        <v>480</v>
      </c>
      <c r="J68" s="133">
        <v>480</v>
      </c>
      <c r="K68" s="133">
        <v>480</v>
      </c>
      <c r="L68" s="133">
        <v>480</v>
      </c>
      <c r="M68" s="133">
        <v>480</v>
      </c>
      <c r="N68" s="133">
        <v>480</v>
      </c>
      <c r="O68" s="133">
        <v>480</v>
      </c>
      <c r="P68" s="139">
        <v>8</v>
      </c>
      <c r="Q68" s="134" t="s">
        <v>45</v>
      </c>
      <c r="R68" s="128"/>
      <c r="S68" s="135">
        <v>480</v>
      </c>
      <c r="T68" s="135">
        <v>480</v>
      </c>
      <c r="U68" s="135">
        <v>480</v>
      </c>
      <c r="V68" s="135">
        <v>480</v>
      </c>
      <c r="W68" s="135">
        <v>480</v>
      </c>
      <c r="X68" s="135">
        <v>480</v>
      </c>
      <c r="Y68" s="135">
        <v>480</v>
      </c>
      <c r="Z68" s="79"/>
      <c r="AA68" s="135">
        <v>8</v>
      </c>
      <c r="AB68" s="136" t="s">
        <v>45</v>
      </c>
      <c r="AC68" s="80"/>
      <c r="AD68" s="81"/>
      <c r="AE68" s="82"/>
      <c r="AF68" s="82"/>
      <c r="AG68" s="82"/>
      <c r="AH68" s="82"/>
      <c r="AI68" s="82"/>
      <c r="AJ68" s="82"/>
      <c r="AK68" s="82"/>
      <c r="AL68" s="82"/>
      <c r="AM68" s="83"/>
      <c r="AN68" s="83"/>
      <c r="AO68" s="84" t="str">
        <f t="shared" si="10"/>
        <v>لا</v>
      </c>
      <c r="AP68" s="85" t="str">
        <f t="shared" si="11"/>
        <v/>
      </c>
      <c r="AQ68" s="84" t="str">
        <f t="shared" si="12"/>
        <v>لا</v>
      </c>
      <c r="AR68" s="85" t="str">
        <f t="shared" si="13"/>
        <v/>
      </c>
      <c r="AS68" s="86" t="str">
        <f t="shared" si="14"/>
        <v>لا</v>
      </c>
      <c r="AT68" s="87" t="str">
        <f t="shared" si="15"/>
        <v/>
      </c>
      <c r="AU68" s="88"/>
      <c r="AV68" s="89"/>
      <c r="AW68" s="90"/>
      <c r="AX68" s="91" cm="1">
        <f t="array" ref="AX68">IFERROR(_xlfn.IFS($AB68="عدد الموظفين/الوحدة",S68*$AA68,$AB68='طريقة الحساب'!$B$2,S68*$AA68/الافتراضات!$B$27,$AB68='طريقة الحساب'!$B$3,S68*$AA68/الافتراضات!$B$26,$AB68='طريقة الحساب'!$B$4,S68*$AA68/الافتراضات!$B$28),"")</f>
        <v>6.4582484329820888E-2</v>
      </c>
      <c r="AY68" s="91" cm="1">
        <f t="array" ref="AY68">IFERROR(_xlfn.IFS($AB68="عدد الموظفين/الوحدة",T68*$AA68,$AB68='طريقة الحساب'!$B$2,T68*$AA68/الافتراضات!$B$27,$AB68='طريقة الحساب'!$B$3,T68*$AA68/الافتراضات!$B$26,$AB68='طريقة الحساب'!$B$4,T68*$AA68/الافتراضات!$B$28),"")</f>
        <v>6.4582484329820888E-2</v>
      </c>
      <c r="AZ68" s="91" cm="1">
        <f t="array" ref="AZ68">IFERROR(_xlfn.IFS($AB68="عدد الموظفين/الوحدة",U68*$AA68,$AB68='طريقة الحساب'!$B$2,U68*$AA68/الافتراضات!$B$27,$AB68='طريقة الحساب'!$B$3,U68*$AA68/الافتراضات!$B$26,$AB68='طريقة الحساب'!$B$4,U68*$AA68/الافتراضات!$B$28),"")</f>
        <v>6.4582484329820888E-2</v>
      </c>
      <c r="BA68" s="91" cm="1">
        <f t="array" ref="BA68">IFERROR(_xlfn.IFS($AB68="عدد الموظفين/الوحدة",V68*$AA68,$AB68='طريقة الحساب'!$B$2,V68*$AA68/الافتراضات!$B$27,$AB68='طريقة الحساب'!$B$3,V68*$AA68/الافتراضات!$B$26,$AB68='طريقة الحساب'!$B$4,V68*$AA68/الافتراضات!$B$28),"")</f>
        <v>6.4582484329820888E-2</v>
      </c>
      <c r="BB68" s="91" cm="1">
        <f t="array" ref="BB68">IFERROR(_xlfn.IFS($AB68="عدد الموظفين/الوحدة",W68*$AA68,$AB68='طريقة الحساب'!$B$2,W68*$AA68/الافتراضات!$B$27,$AB68='طريقة الحساب'!$B$3,W68*$AA68/الافتراضات!$B$26,$AB68='طريقة الحساب'!$B$4,W68*$AA68/الافتراضات!$B$28),"")</f>
        <v>6.4582484329820888E-2</v>
      </c>
      <c r="BC68" s="91" cm="1">
        <f t="array" ref="BC68">IFERROR(_xlfn.IFS($AB68="عدد الموظفين/الوحدة",X68*$AA68,$AB68='طريقة الحساب'!$B$2,X68*$AA68/الافتراضات!$B$27,$AB68='طريقة الحساب'!$B$3,X68*$AA68/الافتراضات!$B$26,$AB68='طريقة الحساب'!$B$4,X68*$AA68/الافتراضات!$B$28),"")</f>
        <v>6.4582484329820888E-2</v>
      </c>
      <c r="BD68" s="91" cm="1">
        <f t="array" ref="BD68">IFERROR(_xlfn.IFS($AB68="عدد الموظفين/الوحدة",Y68*$AA68,$AB68='طريقة الحساب'!$B$2,Y68*$AA68/الافتراضات!$B$27,$AB68='طريقة الحساب'!$B$3,Y68*$AA68/الافتراضات!$B$26,$AB68='طريقة الحساب'!$B$4,Y68*$AA68/الافتراضات!$B$28),"")</f>
        <v>6.4582484329820888E-2</v>
      </c>
      <c r="BE68" s="91" cm="1">
        <f t="array" ref="BE68">IFERROR(_xlfn.IFS($AB68="عدد الموظفين/الوحدة",Z68*$AA68,$AB68='طريقة الحساب'!$B$2,Z68*$AA68/الافتراضات!$B$27,$AB68='طريقة الحساب'!$B$3,Z68*$AA68/الافتراضات!$B$26,$AB68='طريقة الحساب'!$B$4,Z68*$AA68/الافتراضات!$B$28),"")</f>
        <v>0</v>
      </c>
      <c r="BF68" s="92"/>
    </row>
    <row r="69" spans="2:58" x14ac:dyDescent="0.35">
      <c r="B69" s="124" t="s">
        <v>87</v>
      </c>
      <c r="C69" s="131" t="s">
        <v>88</v>
      </c>
      <c r="D69" s="131" t="s">
        <v>90</v>
      </c>
      <c r="E69" s="138" t="s">
        <v>91</v>
      </c>
      <c r="F69" s="125" t="s">
        <v>151</v>
      </c>
      <c r="G69" s="126" t="s">
        <v>84</v>
      </c>
      <c r="H69" s="127"/>
      <c r="I69" s="132">
        <v>40</v>
      </c>
      <c r="J69" s="133">
        <v>40</v>
      </c>
      <c r="K69" s="133">
        <v>40</v>
      </c>
      <c r="L69" s="133">
        <v>40</v>
      </c>
      <c r="M69" s="133">
        <v>40</v>
      </c>
      <c r="N69" s="133">
        <v>40</v>
      </c>
      <c r="O69" s="133">
        <v>40</v>
      </c>
      <c r="P69" s="139">
        <v>1</v>
      </c>
      <c r="Q69" s="134" t="s">
        <v>32</v>
      </c>
      <c r="R69" s="128"/>
      <c r="S69" s="135">
        <v>40</v>
      </c>
      <c r="T69" s="135">
        <v>40</v>
      </c>
      <c r="U69" s="135">
        <v>40</v>
      </c>
      <c r="V69" s="135">
        <v>40</v>
      </c>
      <c r="W69" s="135">
        <v>40</v>
      </c>
      <c r="X69" s="135">
        <v>40</v>
      </c>
      <c r="Y69" s="135">
        <v>40</v>
      </c>
      <c r="Z69" s="79"/>
      <c r="AA69" s="135">
        <v>1</v>
      </c>
      <c r="AB69" s="136" t="s">
        <v>32</v>
      </c>
      <c r="AC69" s="80"/>
      <c r="AD69" s="81"/>
      <c r="AE69" s="82"/>
      <c r="AF69" s="82"/>
      <c r="AG69" s="82"/>
      <c r="AH69" s="82"/>
      <c r="AI69" s="82"/>
      <c r="AJ69" s="82"/>
      <c r="AK69" s="82"/>
      <c r="AL69" s="82"/>
      <c r="AM69" s="83"/>
      <c r="AN69" s="83"/>
      <c r="AO69" s="84" t="str">
        <f t="shared" si="10"/>
        <v>لا</v>
      </c>
      <c r="AP69" s="85" t="str">
        <f t="shared" si="11"/>
        <v/>
      </c>
      <c r="AQ69" s="84" t="str">
        <f t="shared" si="12"/>
        <v>لا</v>
      </c>
      <c r="AR69" s="85" t="str">
        <f t="shared" si="13"/>
        <v/>
      </c>
      <c r="AS69" s="86" t="str">
        <f t="shared" si="14"/>
        <v>لا</v>
      </c>
      <c r="AT69" s="87" t="str">
        <f t="shared" si="15"/>
        <v/>
      </c>
      <c r="AU69" s="88"/>
      <c r="AV69" s="89"/>
      <c r="AW69" s="90"/>
      <c r="AX69" s="91" cm="1">
        <f t="array" ref="AX69">IFERROR(_xlfn.IFS($AB69="عدد الموظفين/الوحدة",S69*$AA69,$AB69='طريقة الحساب'!$B$2,S69*$AA69/الافتراضات!$B$27,$AB69='طريقة الحساب'!$B$3,S69*$AA69/الافتراضات!$B$26,$AB69='طريقة الحساب'!$B$4,S69*$AA69/الافتراضات!$B$28),"")</f>
        <v>4.0364052706138048E-2</v>
      </c>
      <c r="AY69" s="91" cm="1">
        <f t="array" ref="AY69">IFERROR(_xlfn.IFS($AB69="عدد الموظفين/الوحدة",T69*$AA69,$AB69='طريقة الحساب'!$B$2,T69*$AA69/الافتراضات!$B$27,$AB69='طريقة الحساب'!$B$3,T69*$AA69/الافتراضات!$B$26,$AB69='طريقة الحساب'!$B$4,T69*$AA69/الافتراضات!$B$28),"")</f>
        <v>4.0364052706138048E-2</v>
      </c>
      <c r="AZ69" s="91" cm="1">
        <f t="array" ref="AZ69">IFERROR(_xlfn.IFS($AB69="عدد الموظفين/الوحدة",U69*$AA69,$AB69='طريقة الحساب'!$B$2,U69*$AA69/الافتراضات!$B$27,$AB69='طريقة الحساب'!$B$3,U69*$AA69/الافتراضات!$B$26,$AB69='طريقة الحساب'!$B$4,U69*$AA69/الافتراضات!$B$28),"")</f>
        <v>4.0364052706138048E-2</v>
      </c>
      <c r="BA69" s="91" cm="1">
        <f t="array" ref="BA69">IFERROR(_xlfn.IFS($AB69="عدد الموظفين/الوحدة",V69*$AA69,$AB69='طريقة الحساب'!$B$2,V69*$AA69/الافتراضات!$B$27,$AB69='طريقة الحساب'!$B$3,V69*$AA69/الافتراضات!$B$26,$AB69='طريقة الحساب'!$B$4,V69*$AA69/الافتراضات!$B$28),"")</f>
        <v>4.0364052706138048E-2</v>
      </c>
      <c r="BB69" s="91" cm="1">
        <f t="array" ref="BB69">IFERROR(_xlfn.IFS($AB69="عدد الموظفين/الوحدة",W69*$AA69,$AB69='طريقة الحساب'!$B$2,W69*$AA69/الافتراضات!$B$27,$AB69='طريقة الحساب'!$B$3,W69*$AA69/الافتراضات!$B$26,$AB69='طريقة الحساب'!$B$4,W69*$AA69/الافتراضات!$B$28),"")</f>
        <v>4.0364052706138048E-2</v>
      </c>
      <c r="BC69" s="91" cm="1">
        <f t="array" ref="BC69">IFERROR(_xlfn.IFS($AB69="عدد الموظفين/الوحدة",X69*$AA69,$AB69='طريقة الحساب'!$B$2,X69*$AA69/الافتراضات!$B$27,$AB69='طريقة الحساب'!$B$3,X69*$AA69/الافتراضات!$B$26,$AB69='طريقة الحساب'!$B$4,X69*$AA69/الافتراضات!$B$28),"")</f>
        <v>4.0364052706138048E-2</v>
      </c>
      <c r="BD69" s="91" cm="1">
        <f t="array" ref="BD69">IFERROR(_xlfn.IFS($AB69="عدد الموظفين/الوحدة",Y69*$AA69,$AB69='طريقة الحساب'!$B$2,Y69*$AA69/الافتراضات!$B$27,$AB69='طريقة الحساب'!$B$3,Y69*$AA69/الافتراضات!$B$26,$AB69='طريقة الحساب'!$B$4,Y69*$AA69/الافتراضات!$B$28),"")</f>
        <v>4.0364052706138048E-2</v>
      </c>
      <c r="BE69" s="91" cm="1">
        <f t="array" ref="BE69">IFERROR(_xlfn.IFS($AB69="عدد الموظفين/الوحدة",Z69*$AA69,$AB69='طريقة الحساب'!$B$2,Z69*$AA69/الافتراضات!$B$27,$AB69='طريقة الحساب'!$B$3,Z69*$AA69/الافتراضات!$B$26,$AB69='طريقة الحساب'!$B$4,Z69*$AA69/الافتراضات!$B$28),"")</f>
        <v>0</v>
      </c>
      <c r="BF69" s="92"/>
    </row>
    <row r="70" spans="2:58" x14ac:dyDescent="0.35">
      <c r="B70" s="124" t="s">
        <v>87</v>
      </c>
      <c r="C70" s="131" t="s">
        <v>88</v>
      </c>
      <c r="D70" s="131" t="s">
        <v>90</v>
      </c>
      <c r="E70" s="138" t="s">
        <v>91</v>
      </c>
      <c r="F70" s="125" t="s">
        <v>152</v>
      </c>
      <c r="G70" s="126" t="s">
        <v>84</v>
      </c>
      <c r="H70" s="127"/>
      <c r="I70" s="132">
        <v>144</v>
      </c>
      <c r="J70" s="133">
        <v>144</v>
      </c>
      <c r="K70" s="133">
        <v>144</v>
      </c>
      <c r="L70" s="133">
        <v>144</v>
      </c>
      <c r="M70" s="133">
        <v>144</v>
      </c>
      <c r="N70" s="133">
        <v>144</v>
      </c>
      <c r="O70" s="133">
        <v>144</v>
      </c>
      <c r="P70" s="139">
        <v>1</v>
      </c>
      <c r="Q70" s="134" t="s">
        <v>32</v>
      </c>
      <c r="R70" s="128"/>
      <c r="S70" s="135">
        <v>144</v>
      </c>
      <c r="T70" s="135">
        <v>144</v>
      </c>
      <c r="U70" s="135">
        <v>144</v>
      </c>
      <c r="V70" s="135">
        <v>144</v>
      </c>
      <c r="W70" s="135">
        <v>144</v>
      </c>
      <c r="X70" s="135">
        <v>144</v>
      </c>
      <c r="Y70" s="135">
        <v>144</v>
      </c>
      <c r="Z70" s="79"/>
      <c r="AA70" s="135">
        <v>1</v>
      </c>
      <c r="AB70" s="136" t="s">
        <v>32</v>
      </c>
      <c r="AC70" s="80"/>
      <c r="AD70" s="81"/>
      <c r="AE70" s="82"/>
      <c r="AF70" s="82"/>
      <c r="AG70" s="82"/>
      <c r="AH70" s="82"/>
      <c r="AI70" s="82"/>
      <c r="AJ70" s="82"/>
      <c r="AK70" s="82"/>
      <c r="AL70" s="82"/>
      <c r="AM70" s="83"/>
      <c r="AN70" s="83"/>
      <c r="AO70" s="84" t="str">
        <f t="shared" si="10"/>
        <v>لا</v>
      </c>
      <c r="AP70" s="85" t="str">
        <f t="shared" si="11"/>
        <v/>
      </c>
      <c r="AQ70" s="84" t="str">
        <f t="shared" si="12"/>
        <v>لا</v>
      </c>
      <c r="AR70" s="85" t="str">
        <f t="shared" si="13"/>
        <v/>
      </c>
      <c r="AS70" s="86" t="str">
        <f t="shared" si="14"/>
        <v>لا</v>
      </c>
      <c r="AT70" s="87" t="str">
        <f t="shared" si="15"/>
        <v/>
      </c>
      <c r="AU70" s="88"/>
      <c r="AV70" s="89"/>
      <c r="AW70" s="90"/>
      <c r="AX70" s="91" cm="1">
        <f t="array" ref="AX70">IFERROR(_xlfn.IFS($AB70="عدد الموظفين/الوحدة",S70*$AA70,$AB70='طريقة الحساب'!$B$2,S70*$AA70/الافتراضات!$B$27,$AB70='طريقة الحساب'!$B$3,S70*$AA70/الافتراضات!$B$26,$AB70='طريقة الحساب'!$B$4,S70*$AA70/الافتراضات!$B$28),"")</f>
        <v>0.14531058974209698</v>
      </c>
      <c r="AY70" s="91" cm="1">
        <f t="array" ref="AY70">IFERROR(_xlfn.IFS($AB70="عدد الموظفين/الوحدة",T70*$AA70,$AB70='طريقة الحساب'!$B$2,T70*$AA70/الافتراضات!$B$27,$AB70='طريقة الحساب'!$B$3,T70*$AA70/الافتراضات!$B$26,$AB70='طريقة الحساب'!$B$4,T70*$AA70/الافتراضات!$B$28),"")</f>
        <v>0.14531058974209698</v>
      </c>
      <c r="AZ70" s="91" cm="1">
        <f t="array" ref="AZ70">IFERROR(_xlfn.IFS($AB70="عدد الموظفين/الوحدة",U70*$AA70,$AB70='طريقة الحساب'!$B$2,U70*$AA70/الافتراضات!$B$27,$AB70='طريقة الحساب'!$B$3,U70*$AA70/الافتراضات!$B$26,$AB70='طريقة الحساب'!$B$4,U70*$AA70/الافتراضات!$B$28),"")</f>
        <v>0.14531058974209698</v>
      </c>
      <c r="BA70" s="91" cm="1">
        <f t="array" ref="BA70">IFERROR(_xlfn.IFS($AB70="عدد الموظفين/الوحدة",V70*$AA70,$AB70='طريقة الحساب'!$B$2,V70*$AA70/الافتراضات!$B$27,$AB70='طريقة الحساب'!$B$3,V70*$AA70/الافتراضات!$B$26,$AB70='طريقة الحساب'!$B$4,V70*$AA70/الافتراضات!$B$28),"")</f>
        <v>0.14531058974209698</v>
      </c>
      <c r="BB70" s="91" cm="1">
        <f t="array" ref="BB70">IFERROR(_xlfn.IFS($AB70="عدد الموظفين/الوحدة",W70*$AA70,$AB70='طريقة الحساب'!$B$2,W70*$AA70/الافتراضات!$B$27,$AB70='طريقة الحساب'!$B$3,W70*$AA70/الافتراضات!$B$26,$AB70='طريقة الحساب'!$B$4,W70*$AA70/الافتراضات!$B$28),"")</f>
        <v>0.14531058974209698</v>
      </c>
      <c r="BC70" s="91" cm="1">
        <f t="array" ref="BC70">IFERROR(_xlfn.IFS($AB70="عدد الموظفين/الوحدة",X70*$AA70,$AB70='طريقة الحساب'!$B$2,X70*$AA70/الافتراضات!$B$27,$AB70='طريقة الحساب'!$B$3,X70*$AA70/الافتراضات!$B$26,$AB70='طريقة الحساب'!$B$4,X70*$AA70/الافتراضات!$B$28),"")</f>
        <v>0.14531058974209698</v>
      </c>
      <c r="BD70" s="91" cm="1">
        <f t="array" ref="BD70">IFERROR(_xlfn.IFS($AB70="عدد الموظفين/الوحدة",Y70*$AA70,$AB70='طريقة الحساب'!$B$2,Y70*$AA70/الافتراضات!$B$27,$AB70='طريقة الحساب'!$B$3,Y70*$AA70/الافتراضات!$B$26,$AB70='طريقة الحساب'!$B$4,Y70*$AA70/الافتراضات!$B$28),"")</f>
        <v>0.14531058974209698</v>
      </c>
      <c r="BE70" s="91" cm="1">
        <f t="array" ref="BE70">IFERROR(_xlfn.IFS($AB70="عدد الموظفين/الوحدة",Z70*$AA70,$AB70='طريقة الحساب'!$B$2,Z70*$AA70/الافتراضات!$B$27,$AB70='طريقة الحساب'!$B$3,Z70*$AA70/الافتراضات!$B$26,$AB70='طريقة الحساب'!$B$4,Z70*$AA70/الافتراضات!$B$28),"")</f>
        <v>0</v>
      </c>
      <c r="BF70" s="92"/>
    </row>
    <row r="71" spans="2:58" x14ac:dyDescent="0.35">
      <c r="B71" s="124" t="s">
        <v>87</v>
      </c>
      <c r="C71" s="131" t="s">
        <v>88</v>
      </c>
      <c r="D71" s="131" t="s">
        <v>90</v>
      </c>
      <c r="E71" s="138" t="s">
        <v>91</v>
      </c>
      <c r="F71" s="125" t="s">
        <v>153</v>
      </c>
      <c r="G71" s="126" t="s">
        <v>84</v>
      </c>
      <c r="H71" s="127"/>
      <c r="I71" s="132">
        <v>480</v>
      </c>
      <c r="J71" s="133">
        <v>480</v>
      </c>
      <c r="K71" s="133">
        <v>480</v>
      </c>
      <c r="L71" s="133">
        <v>480</v>
      </c>
      <c r="M71" s="133">
        <v>480</v>
      </c>
      <c r="N71" s="133">
        <v>480</v>
      </c>
      <c r="O71" s="133">
        <v>480</v>
      </c>
      <c r="P71" s="139">
        <v>1</v>
      </c>
      <c r="Q71" s="134" t="s">
        <v>32</v>
      </c>
      <c r="R71" s="128"/>
      <c r="S71" s="135">
        <v>480</v>
      </c>
      <c r="T71" s="135">
        <v>480</v>
      </c>
      <c r="U71" s="135">
        <v>480</v>
      </c>
      <c r="V71" s="135">
        <v>480</v>
      </c>
      <c r="W71" s="135">
        <v>480</v>
      </c>
      <c r="X71" s="135">
        <v>480</v>
      </c>
      <c r="Y71" s="135">
        <v>480</v>
      </c>
      <c r="Z71" s="79"/>
      <c r="AA71" s="135">
        <v>1</v>
      </c>
      <c r="AB71" s="136" t="s">
        <v>32</v>
      </c>
      <c r="AC71" s="80"/>
      <c r="AD71" s="81"/>
      <c r="AE71" s="82"/>
      <c r="AF71" s="82"/>
      <c r="AG71" s="82"/>
      <c r="AH71" s="82"/>
      <c r="AI71" s="82"/>
      <c r="AJ71" s="82"/>
      <c r="AK71" s="82"/>
      <c r="AL71" s="82"/>
      <c r="AM71" s="83"/>
      <c r="AN71" s="83"/>
      <c r="AO71" s="84" t="str">
        <f t="shared" si="10"/>
        <v>لا</v>
      </c>
      <c r="AP71" s="85" t="str">
        <f t="shared" si="11"/>
        <v/>
      </c>
      <c r="AQ71" s="84" t="str">
        <f t="shared" si="12"/>
        <v>لا</v>
      </c>
      <c r="AR71" s="85" t="str">
        <f t="shared" si="13"/>
        <v/>
      </c>
      <c r="AS71" s="86" t="str">
        <f t="shared" si="14"/>
        <v>لا</v>
      </c>
      <c r="AT71" s="87" t="str">
        <f t="shared" si="15"/>
        <v/>
      </c>
      <c r="AU71" s="88"/>
      <c r="AV71" s="89"/>
      <c r="AW71" s="90"/>
      <c r="AX71" s="91" cm="1">
        <f t="array" ref="AX71">IFERROR(_xlfn.IFS($AB71="عدد الموظفين/الوحدة",S71*$AA71,$AB71='طريقة الحساب'!$B$2,S71*$AA71/الافتراضات!$B$27,$AB71='طريقة الحساب'!$B$3,S71*$AA71/الافتراضات!$B$26,$AB71='طريقة الحساب'!$B$4,S71*$AA71/الافتراضات!$B$28),"")</f>
        <v>0.48436863247365664</v>
      </c>
      <c r="AY71" s="91" cm="1">
        <f t="array" ref="AY71">IFERROR(_xlfn.IFS($AB71="عدد الموظفين/الوحدة",T71*$AA71,$AB71='طريقة الحساب'!$B$2,T71*$AA71/الافتراضات!$B$27,$AB71='طريقة الحساب'!$B$3,T71*$AA71/الافتراضات!$B$26,$AB71='طريقة الحساب'!$B$4,T71*$AA71/الافتراضات!$B$28),"")</f>
        <v>0.48436863247365664</v>
      </c>
      <c r="AZ71" s="91" cm="1">
        <f t="array" ref="AZ71">IFERROR(_xlfn.IFS($AB71="عدد الموظفين/الوحدة",U71*$AA71,$AB71='طريقة الحساب'!$B$2,U71*$AA71/الافتراضات!$B$27,$AB71='طريقة الحساب'!$B$3,U71*$AA71/الافتراضات!$B$26,$AB71='طريقة الحساب'!$B$4,U71*$AA71/الافتراضات!$B$28),"")</f>
        <v>0.48436863247365664</v>
      </c>
      <c r="BA71" s="91" cm="1">
        <f t="array" ref="BA71">IFERROR(_xlfn.IFS($AB71="عدد الموظفين/الوحدة",V71*$AA71,$AB71='طريقة الحساب'!$B$2,V71*$AA71/الافتراضات!$B$27,$AB71='طريقة الحساب'!$B$3,V71*$AA71/الافتراضات!$B$26,$AB71='طريقة الحساب'!$B$4,V71*$AA71/الافتراضات!$B$28),"")</f>
        <v>0.48436863247365664</v>
      </c>
      <c r="BB71" s="91" cm="1">
        <f t="array" ref="BB71">IFERROR(_xlfn.IFS($AB71="عدد الموظفين/الوحدة",W71*$AA71,$AB71='طريقة الحساب'!$B$2,W71*$AA71/الافتراضات!$B$27,$AB71='طريقة الحساب'!$B$3,W71*$AA71/الافتراضات!$B$26,$AB71='طريقة الحساب'!$B$4,W71*$AA71/الافتراضات!$B$28),"")</f>
        <v>0.48436863247365664</v>
      </c>
      <c r="BC71" s="91" cm="1">
        <f t="array" ref="BC71">IFERROR(_xlfn.IFS($AB71="عدد الموظفين/الوحدة",X71*$AA71,$AB71='طريقة الحساب'!$B$2,X71*$AA71/الافتراضات!$B$27,$AB71='طريقة الحساب'!$B$3,X71*$AA71/الافتراضات!$B$26,$AB71='طريقة الحساب'!$B$4,X71*$AA71/الافتراضات!$B$28),"")</f>
        <v>0.48436863247365664</v>
      </c>
      <c r="BD71" s="91" cm="1">
        <f t="array" ref="BD71">IFERROR(_xlfn.IFS($AB71="عدد الموظفين/الوحدة",Y71*$AA71,$AB71='طريقة الحساب'!$B$2,Y71*$AA71/الافتراضات!$B$27,$AB71='طريقة الحساب'!$B$3,Y71*$AA71/الافتراضات!$B$26,$AB71='طريقة الحساب'!$B$4,Y71*$AA71/الافتراضات!$B$28),"")</f>
        <v>0.48436863247365664</v>
      </c>
      <c r="BE71" s="91" cm="1">
        <f t="array" ref="BE71">IFERROR(_xlfn.IFS($AB71="عدد الموظفين/الوحدة",Z71*$AA71,$AB71='طريقة الحساب'!$B$2,Z71*$AA71/الافتراضات!$B$27,$AB71='طريقة الحساب'!$B$3,Z71*$AA71/الافتراضات!$B$26,$AB71='طريقة الحساب'!$B$4,Z71*$AA71/الافتراضات!$B$28),"")</f>
        <v>0</v>
      </c>
      <c r="BF71" s="92"/>
    </row>
    <row r="72" spans="2:58" x14ac:dyDescent="0.35">
      <c r="B72" s="124" t="s">
        <v>87</v>
      </c>
      <c r="C72" s="131" t="s">
        <v>88</v>
      </c>
      <c r="D72" s="131" t="s">
        <v>90</v>
      </c>
      <c r="E72" s="138" t="s">
        <v>91</v>
      </c>
      <c r="F72" s="125" t="s">
        <v>154</v>
      </c>
      <c r="G72" s="126" t="s">
        <v>84</v>
      </c>
      <c r="H72" s="127"/>
      <c r="I72" s="132">
        <v>100</v>
      </c>
      <c r="J72" s="133">
        <v>100</v>
      </c>
      <c r="K72" s="133">
        <v>100</v>
      </c>
      <c r="L72" s="133">
        <v>100</v>
      </c>
      <c r="M72" s="133">
        <v>100</v>
      </c>
      <c r="N72" s="133">
        <v>100</v>
      </c>
      <c r="O72" s="133">
        <v>100</v>
      </c>
      <c r="P72" s="139">
        <v>10</v>
      </c>
      <c r="Q72" s="134" t="s">
        <v>45</v>
      </c>
      <c r="R72" s="128"/>
      <c r="S72" s="135">
        <v>100</v>
      </c>
      <c r="T72" s="135">
        <v>100</v>
      </c>
      <c r="U72" s="135">
        <v>100</v>
      </c>
      <c r="V72" s="135">
        <v>100</v>
      </c>
      <c r="W72" s="135">
        <v>100</v>
      </c>
      <c r="X72" s="135">
        <v>100</v>
      </c>
      <c r="Y72" s="135">
        <v>100</v>
      </c>
      <c r="Z72" s="79"/>
      <c r="AA72" s="135">
        <v>10</v>
      </c>
      <c r="AB72" s="136" t="s">
        <v>45</v>
      </c>
      <c r="AC72" s="80"/>
      <c r="AD72" s="81"/>
      <c r="AE72" s="82"/>
      <c r="AF72" s="82"/>
      <c r="AG72" s="82"/>
      <c r="AH72" s="82"/>
      <c r="AI72" s="82"/>
      <c r="AJ72" s="82"/>
      <c r="AK72" s="82"/>
      <c r="AL72" s="82"/>
      <c r="AM72" s="83"/>
      <c r="AN72" s="83"/>
      <c r="AO72" s="84" t="str">
        <f t="shared" si="10"/>
        <v>لا</v>
      </c>
      <c r="AP72" s="85" t="str">
        <f t="shared" si="11"/>
        <v/>
      </c>
      <c r="AQ72" s="84" t="str">
        <f t="shared" si="12"/>
        <v>لا</v>
      </c>
      <c r="AR72" s="85" t="str">
        <f t="shared" si="13"/>
        <v/>
      </c>
      <c r="AS72" s="86" t="str">
        <f t="shared" si="14"/>
        <v>لا</v>
      </c>
      <c r="AT72" s="87" t="str">
        <f t="shared" si="15"/>
        <v/>
      </c>
      <c r="AU72" s="88"/>
      <c r="AV72" s="89"/>
      <c r="AW72" s="90"/>
      <c r="AX72" s="91" cm="1">
        <f t="array" ref="AX72">IFERROR(_xlfn.IFS($AB72="عدد الموظفين/الوحدة",S72*$AA72,$AB72='طريقة الحساب'!$B$2,S72*$AA72/الافتراضات!$B$27,$AB72='طريقة الحساب'!$B$3,S72*$AA72/الافتراضات!$B$26,$AB72='طريقة الحساب'!$B$4,S72*$AA72/الافتراضات!$B$28),"")</f>
        <v>1.6818355294224187E-2</v>
      </c>
      <c r="AY72" s="91" cm="1">
        <f t="array" ref="AY72">IFERROR(_xlfn.IFS($AB72="عدد الموظفين/الوحدة",T72*$AA72,$AB72='طريقة الحساب'!$B$2,T72*$AA72/الافتراضات!$B$27,$AB72='طريقة الحساب'!$B$3,T72*$AA72/الافتراضات!$B$26,$AB72='طريقة الحساب'!$B$4,T72*$AA72/الافتراضات!$B$28),"")</f>
        <v>1.6818355294224187E-2</v>
      </c>
      <c r="AZ72" s="91" cm="1">
        <f t="array" ref="AZ72">IFERROR(_xlfn.IFS($AB72="عدد الموظفين/الوحدة",U72*$AA72,$AB72='طريقة الحساب'!$B$2,U72*$AA72/الافتراضات!$B$27,$AB72='طريقة الحساب'!$B$3,U72*$AA72/الافتراضات!$B$26,$AB72='طريقة الحساب'!$B$4,U72*$AA72/الافتراضات!$B$28),"")</f>
        <v>1.6818355294224187E-2</v>
      </c>
      <c r="BA72" s="91" cm="1">
        <f t="array" ref="BA72">IFERROR(_xlfn.IFS($AB72="عدد الموظفين/الوحدة",V72*$AA72,$AB72='طريقة الحساب'!$B$2,V72*$AA72/الافتراضات!$B$27,$AB72='طريقة الحساب'!$B$3,V72*$AA72/الافتراضات!$B$26,$AB72='طريقة الحساب'!$B$4,V72*$AA72/الافتراضات!$B$28),"")</f>
        <v>1.6818355294224187E-2</v>
      </c>
      <c r="BB72" s="91" cm="1">
        <f t="array" ref="BB72">IFERROR(_xlfn.IFS($AB72="عدد الموظفين/الوحدة",W72*$AA72,$AB72='طريقة الحساب'!$B$2,W72*$AA72/الافتراضات!$B$27,$AB72='طريقة الحساب'!$B$3,W72*$AA72/الافتراضات!$B$26,$AB72='طريقة الحساب'!$B$4,W72*$AA72/الافتراضات!$B$28),"")</f>
        <v>1.6818355294224187E-2</v>
      </c>
      <c r="BC72" s="91" cm="1">
        <f t="array" ref="BC72">IFERROR(_xlfn.IFS($AB72="عدد الموظفين/الوحدة",X72*$AA72,$AB72='طريقة الحساب'!$B$2,X72*$AA72/الافتراضات!$B$27,$AB72='طريقة الحساب'!$B$3,X72*$AA72/الافتراضات!$B$26,$AB72='طريقة الحساب'!$B$4,X72*$AA72/الافتراضات!$B$28),"")</f>
        <v>1.6818355294224187E-2</v>
      </c>
      <c r="BD72" s="91" cm="1">
        <f t="array" ref="BD72">IFERROR(_xlfn.IFS($AB72="عدد الموظفين/الوحدة",Y72*$AA72,$AB72='طريقة الحساب'!$B$2,Y72*$AA72/الافتراضات!$B$27,$AB72='طريقة الحساب'!$B$3,Y72*$AA72/الافتراضات!$B$26,$AB72='طريقة الحساب'!$B$4,Y72*$AA72/الافتراضات!$B$28),"")</f>
        <v>1.6818355294224187E-2</v>
      </c>
      <c r="BE72" s="91" cm="1">
        <f t="array" ref="BE72">IFERROR(_xlfn.IFS($AB72="عدد الموظفين/الوحدة",Z72*$AA72,$AB72='طريقة الحساب'!$B$2,Z72*$AA72/الافتراضات!$B$27,$AB72='طريقة الحساب'!$B$3,Z72*$AA72/الافتراضات!$B$26,$AB72='طريقة الحساب'!$B$4,Z72*$AA72/الافتراضات!$B$28),"")</f>
        <v>0</v>
      </c>
      <c r="BF72" s="92"/>
    </row>
    <row r="73" spans="2:58" x14ac:dyDescent="0.35">
      <c r="B73" s="124" t="s">
        <v>87</v>
      </c>
      <c r="C73" s="131" t="s">
        <v>88</v>
      </c>
      <c r="D73" s="131" t="s">
        <v>90</v>
      </c>
      <c r="E73" s="138" t="s">
        <v>91</v>
      </c>
      <c r="F73" s="125" t="s">
        <v>155</v>
      </c>
      <c r="G73" s="126" t="s">
        <v>84</v>
      </c>
      <c r="H73" s="127"/>
      <c r="I73" s="132">
        <v>1</v>
      </c>
      <c r="J73" s="133">
        <v>1</v>
      </c>
      <c r="K73" s="133">
        <v>1</v>
      </c>
      <c r="L73" s="133">
        <v>1</v>
      </c>
      <c r="M73" s="133">
        <v>1</v>
      </c>
      <c r="N73" s="133">
        <v>1</v>
      </c>
      <c r="O73" s="133">
        <v>1</v>
      </c>
      <c r="P73" s="139">
        <v>200</v>
      </c>
      <c r="Q73" s="134" t="s">
        <v>46</v>
      </c>
      <c r="R73" s="128"/>
      <c r="S73" s="135">
        <v>1</v>
      </c>
      <c r="T73" s="135">
        <v>1</v>
      </c>
      <c r="U73" s="135">
        <v>1</v>
      </c>
      <c r="V73" s="135">
        <v>1</v>
      </c>
      <c r="W73" s="135">
        <v>1</v>
      </c>
      <c r="X73" s="135">
        <v>1</v>
      </c>
      <c r="Y73" s="135">
        <v>1</v>
      </c>
      <c r="Z73" s="79"/>
      <c r="AA73" s="135">
        <v>200</v>
      </c>
      <c r="AB73" s="136" t="s">
        <v>46</v>
      </c>
      <c r="AC73" s="80"/>
      <c r="AD73" s="81"/>
      <c r="AE73" s="82"/>
      <c r="AF73" s="82"/>
      <c r="AG73" s="82"/>
      <c r="AH73" s="82"/>
      <c r="AI73" s="82"/>
      <c r="AJ73" s="82"/>
      <c r="AK73" s="82"/>
      <c r="AL73" s="82"/>
      <c r="AM73" s="83"/>
      <c r="AN73" s="83"/>
      <c r="AO73" s="84" t="str">
        <f t="shared" si="10"/>
        <v>لا</v>
      </c>
      <c r="AP73" s="85" t="str">
        <f t="shared" si="11"/>
        <v/>
      </c>
      <c r="AQ73" s="84" t="str">
        <f t="shared" si="12"/>
        <v>لا</v>
      </c>
      <c r="AR73" s="85" t="str">
        <f t="shared" si="13"/>
        <v/>
      </c>
      <c r="AS73" s="86" t="str">
        <f t="shared" si="14"/>
        <v>لا</v>
      </c>
      <c r="AT73" s="87" t="str">
        <f t="shared" si="15"/>
        <v/>
      </c>
      <c r="AU73" s="88"/>
      <c r="AV73" s="89"/>
      <c r="AW73" s="90"/>
      <c r="AX73" s="91" cm="1">
        <f t="array" ref="AX73">IFERROR(_xlfn.IFS($AB73="عدد الموظفين/الوحدة",S73*$AA73,$AB73='طريقة الحساب'!$B$2,S73*$AA73/الافتراضات!$B$27,$AB73='طريقة الحساب'!$B$3,S73*$AA73/الافتراضات!$B$26,$AB73='طريقة الحساب'!$B$4,S73*$AA73/الافتراضات!$B$28),"")</f>
        <v>1.0362694300518134</v>
      </c>
      <c r="AY73" s="91" cm="1">
        <f t="array" ref="AY73">IFERROR(_xlfn.IFS($AB73="عدد الموظفين/الوحدة",T73*$AA73,$AB73='طريقة الحساب'!$B$2,T73*$AA73/الافتراضات!$B$27,$AB73='طريقة الحساب'!$B$3,T73*$AA73/الافتراضات!$B$26,$AB73='طريقة الحساب'!$B$4,T73*$AA73/الافتراضات!$B$28),"")</f>
        <v>1.0362694300518134</v>
      </c>
      <c r="AZ73" s="91" cm="1">
        <f t="array" ref="AZ73">IFERROR(_xlfn.IFS($AB73="عدد الموظفين/الوحدة",U73*$AA73,$AB73='طريقة الحساب'!$B$2,U73*$AA73/الافتراضات!$B$27,$AB73='طريقة الحساب'!$B$3,U73*$AA73/الافتراضات!$B$26,$AB73='طريقة الحساب'!$B$4,U73*$AA73/الافتراضات!$B$28),"")</f>
        <v>1.0362694300518134</v>
      </c>
      <c r="BA73" s="91" cm="1">
        <f t="array" ref="BA73">IFERROR(_xlfn.IFS($AB73="عدد الموظفين/الوحدة",V73*$AA73,$AB73='طريقة الحساب'!$B$2,V73*$AA73/الافتراضات!$B$27,$AB73='طريقة الحساب'!$B$3,V73*$AA73/الافتراضات!$B$26,$AB73='طريقة الحساب'!$B$4,V73*$AA73/الافتراضات!$B$28),"")</f>
        <v>1.0362694300518134</v>
      </c>
      <c r="BB73" s="91" cm="1">
        <f t="array" ref="BB73">IFERROR(_xlfn.IFS($AB73="عدد الموظفين/الوحدة",W73*$AA73,$AB73='طريقة الحساب'!$B$2,W73*$AA73/الافتراضات!$B$27,$AB73='طريقة الحساب'!$B$3,W73*$AA73/الافتراضات!$B$26,$AB73='طريقة الحساب'!$B$4,W73*$AA73/الافتراضات!$B$28),"")</f>
        <v>1.0362694300518134</v>
      </c>
      <c r="BC73" s="91" cm="1">
        <f t="array" ref="BC73">IFERROR(_xlfn.IFS($AB73="عدد الموظفين/الوحدة",X73*$AA73,$AB73='طريقة الحساب'!$B$2,X73*$AA73/الافتراضات!$B$27,$AB73='طريقة الحساب'!$B$3,X73*$AA73/الافتراضات!$B$26,$AB73='طريقة الحساب'!$B$4,X73*$AA73/الافتراضات!$B$28),"")</f>
        <v>1.0362694300518134</v>
      </c>
      <c r="BD73" s="91" cm="1">
        <f t="array" ref="BD73">IFERROR(_xlfn.IFS($AB73="عدد الموظفين/الوحدة",Y73*$AA73,$AB73='طريقة الحساب'!$B$2,Y73*$AA73/الافتراضات!$B$27,$AB73='طريقة الحساب'!$B$3,Y73*$AA73/الافتراضات!$B$26,$AB73='طريقة الحساب'!$B$4,Y73*$AA73/الافتراضات!$B$28),"")</f>
        <v>1.0362694300518134</v>
      </c>
      <c r="BE73" s="91" cm="1">
        <f t="array" ref="BE73">IFERROR(_xlfn.IFS($AB73="عدد الموظفين/الوحدة",Z73*$AA73,$AB73='طريقة الحساب'!$B$2,Z73*$AA73/الافتراضات!$B$27,$AB73='طريقة الحساب'!$B$3,Z73*$AA73/الافتراضات!$B$26,$AB73='طريقة الحساب'!$B$4,Z73*$AA73/الافتراضات!$B$28),"")</f>
        <v>0</v>
      </c>
      <c r="BF73" s="92"/>
    </row>
    <row r="74" spans="2:58" x14ac:dyDescent="0.35">
      <c r="B74" s="124" t="s">
        <v>87</v>
      </c>
      <c r="C74" s="131" t="s">
        <v>88</v>
      </c>
      <c r="D74" s="131" t="s">
        <v>90</v>
      </c>
      <c r="E74" s="138" t="s">
        <v>91</v>
      </c>
      <c r="F74" s="125" t="s">
        <v>156</v>
      </c>
      <c r="G74" s="126" t="s">
        <v>84</v>
      </c>
      <c r="H74" s="127"/>
      <c r="I74" s="132">
        <v>100</v>
      </c>
      <c r="J74" s="133">
        <v>100</v>
      </c>
      <c r="K74" s="133">
        <v>100</v>
      </c>
      <c r="L74" s="133">
        <v>100</v>
      </c>
      <c r="M74" s="133">
        <v>100</v>
      </c>
      <c r="N74" s="133">
        <v>100</v>
      </c>
      <c r="O74" s="133">
        <v>100</v>
      </c>
      <c r="P74" s="139">
        <v>1</v>
      </c>
      <c r="Q74" s="134" t="s">
        <v>32</v>
      </c>
      <c r="R74" s="128"/>
      <c r="S74" s="135">
        <v>100</v>
      </c>
      <c r="T74" s="135">
        <v>100</v>
      </c>
      <c r="U74" s="135">
        <v>100</v>
      </c>
      <c r="V74" s="135">
        <v>100</v>
      </c>
      <c r="W74" s="135">
        <v>100</v>
      </c>
      <c r="X74" s="135">
        <v>100</v>
      </c>
      <c r="Y74" s="135">
        <v>100</v>
      </c>
      <c r="Z74" s="79"/>
      <c r="AA74" s="135">
        <v>1</v>
      </c>
      <c r="AB74" s="136" t="s">
        <v>32</v>
      </c>
      <c r="AC74" s="80"/>
      <c r="AD74" s="81"/>
      <c r="AE74" s="82"/>
      <c r="AF74" s="82"/>
      <c r="AG74" s="82"/>
      <c r="AH74" s="82"/>
      <c r="AI74" s="82"/>
      <c r="AJ74" s="82"/>
      <c r="AK74" s="82"/>
      <c r="AL74" s="82"/>
      <c r="AM74" s="83"/>
      <c r="AN74" s="83"/>
      <c r="AO74" s="84" t="str">
        <f t="shared" si="10"/>
        <v>لا</v>
      </c>
      <c r="AP74" s="85" t="str">
        <f t="shared" si="11"/>
        <v/>
      </c>
      <c r="AQ74" s="84" t="str">
        <f t="shared" si="12"/>
        <v>لا</v>
      </c>
      <c r="AR74" s="85" t="str">
        <f t="shared" si="13"/>
        <v/>
      </c>
      <c r="AS74" s="86" t="str">
        <f t="shared" si="14"/>
        <v>لا</v>
      </c>
      <c r="AT74" s="87" t="str">
        <f t="shared" si="15"/>
        <v/>
      </c>
      <c r="AU74" s="88"/>
      <c r="AV74" s="89"/>
      <c r="AW74" s="90"/>
      <c r="AX74" s="91" cm="1">
        <f t="array" ref="AX74">IFERROR(_xlfn.IFS($AB74="عدد الموظفين/الوحدة",S74*$AA74,$AB74='طريقة الحساب'!$B$2,S74*$AA74/الافتراضات!$B$27,$AB74='طريقة الحساب'!$B$3,S74*$AA74/الافتراضات!$B$26,$AB74='طريقة الحساب'!$B$4,S74*$AA74/الافتراضات!$B$28),"")</f>
        <v>0.10091013176534512</v>
      </c>
      <c r="AY74" s="91" cm="1">
        <f t="array" ref="AY74">IFERROR(_xlfn.IFS($AB74="عدد الموظفين/الوحدة",T74*$AA74,$AB74='طريقة الحساب'!$B$2,T74*$AA74/الافتراضات!$B$27,$AB74='طريقة الحساب'!$B$3,T74*$AA74/الافتراضات!$B$26,$AB74='طريقة الحساب'!$B$4,T74*$AA74/الافتراضات!$B$28),"")</f>
        <v>0.10091013176534512</v>
      </c>
      <c r="AZ74" s="91" cm="1">
        <f t="array" ref="AZ74">IFERROR(_xlfn.IFS($AB74="عدد الموظفين/الوحدة",U74*$AA74,$AB74='طريقة الحساب'!$B$2,U74*$AA74/الافتراضات!$B$27,$AB74='طريقة الحساب'!$B$3,U74*$AA74/الافتراضات!$B$26,$AB74='طريقة الحساب'!$B$4,U74*$AA74/الافتراضات!$B$28),"")</f>
        <v>0.10091013176534512</v>
      </c>
      <c r="BA74" s="91" cm="1">
        <f t="array" ref="BA74">IFERROR(_xlfn.IFS($AB74="عدد الموظفين/الوحدة",V74*$AA74,$AB74='طريقة الحساب'!$B$2,V74*$AA74/الافتراضات!$B$27,$AB74='طريقة الحساب'!$B$3,V74*$AA74/الافتراضات!$B$26,$AB74='طريقة الحساب'!$B$4,V74*$AA74/الافتراضات!$B$28),"")</f>
        <v>0.10091013176534512</v>
      </c>
      <c r="BB74" s="91" cm="1">
        <f t="array" ref="BB74">IFERROR(_xlfn.IFS($AB74="عدد الموظفين/الوحدة",W74*$AA74,$AB74='طريقة الحساب'!$B$2,W74*$AA74/الافتراضات!$B$27,$AB74='طريقة الحساب'!$B$3,W74*$AA74/الافتراضات!$B$26,$AB74='طريقة الحساب'!$B$4,W74*$AA74/الافتراضات!$B$28),"")</f>
        <v>0.10091013176534512</v>
      </c>
      <c r="BC74" s="91" cm="1">
        <f t="array" ref="BC74">IFERROR(_xlfn.IFS($AB74="عدد الموظفين/الوحدة",X74*$AA74,$AB74='طريقة الحساب'!$B$2,X74*$AA74/الافتراضات!$B$27,$AB74='طريقة الحساب'!$B$3,X74*$AA74/الافتراضات!$B$26,$AB74='طريقة الحساب'!$B$4,X74*$AA74/الافتراضات!$B$28),"")</f>
        <v>0.10091013176534512</v>
      </c>
      <c r="BD74" s="91" cm="1">
        <f t="array" ref="BD74">IFERROR(_xlfn.IFS($AB74="عدد الموظفين/الوحدة",Y74*$AA74,$AB74='طريقة الحساب'!$B$2,Y74*$AA74/الافتراضات!$B$27,$AB74='طريقة الحساب'!$B$3,Y74*$AA74/الافتراضات!$B$26,$AB74='طريقة الحساب'!$B$4,Y74*$AA74/الافتراضات!$B$28),"")</f>
        <v>0.10091013176534512</v>
      </c>
      <c r="BE74" s="91" cm="1">
        <f t="array" ref="BE74">IFERROR(_xlfn.IFS($AB74="عدد الموظفين/الوحدة",Z74*$AA74,$AB74='طريقة الحساب'!$B$2,Z74*$AA74/الافتراضات!$B$27,$AB74='طريقة الحساب'!$B$3,Z74*$AA74/الافتراضات!$B$26,$AB74='طريقة الحساب'!$B$4,Z74*$AA74/الافتراضات!$B$28),"")</f>
        <v>0</v>
      </c>
      <c r="BF74" s="92"/>
    </row>
    <row r="75" spans="2:58" x14ac:dyDescent="0.35">
      <c r="B75" s="124" t="s">
        <v>87</v>
      </c>
      <c r="C75" s="131" t="s">
        <v>88</v>
      </c>
      <c r="D75" s="131" t="s">
        <v>90</v>
      </c>
      <c r="E75" s="138" t="s">
        <v>92</v>
      </c>
      <c r="F75" s="125" t="s">
        <v>157</v>
      </c>
      <c r="G75" s="126" t="s">
        <v>84</v>
      </c>
      <c r="H75" s="127"/>
      <c r="I75" s="132">
        <v>96</v>
      </c>
      <c r="J75" s="133">
        <v>98</v>
      </c>
      <c r="K75" s="133">
        <v>98</v>
      </c>
      <c r="L75" s="133">
        <v>100</v>
      </c>
      <c r="M75" s="133">
        <v>100</v>
      </c>
      <c r="N75" s="133">
        <v>102</v>
      </c>
      <c r="O75" s="133">
        <v>102</v>
      </c>
      <c r="P75" s="139">
        <v>1</v>
      </c>
      <c r="Q75" s="134" t="s">
        <v>32</v>
      </c>
      <c r="R75" s="128"/>
      <c r="S75" s="135">
        <v>96</v>
      </c>
      <c r="T75" s="135">
        <v>98</v>
      </c>
      <c r="U75" s="135">
        <v>98</v>
      </c>
      <c r="V75" s="135">
        <v>100</v>
      </c>
      <c r="W75" s="135">
        <v>100</v>
      </c>
      <c r="X75" s="135">
        <v>102</v>
      </c>
      <c r="Y75" s="135">
        <v>102</v>
      </c>
      <c r="Z75" s="79"/>
      <c r="AA75" s="135">
        <v>1</v>
      </c>
      <c r="AB75" s="136" t="s">
        <v>32</v>
      </c>
      <c r="AC75" s="80"/>
      <c r="AD75" s="81"/>
      <c r="AE75" s="82"/>
      <c r="AF75" s="82"/>
      <c r="AG75" s="82"/>
      <c r="AH75" s="82"/>
      <c r="AI75" s="82"/>
      <c r="AJ75" s="82"/>
      <c r="AK75" s="82"/>
      <c r="AL75" s="82"/>
      <c r="AM75" s="83"/>
      <c r="AN75" s="83"/>
      <c r="AO75" s="84" t="str">
        <f t="shared" si="10"/>
        <v>لا</v>
      </c>
      <c r="AP75" s="85" t="str">
        <f t="shared" si="11"/>
        <v/>
      </c>
      <c r="AQ75" s="84" t="str">
        <f t="shared" si="12"/>
        <v>لا</v>
      </c>
      <c r="AR75" s="85" t="str">
        <f t="shared" si="13"/>
        <v/>
      </c>
      <c r="AS75" s="86" t="str">
        <f t="shared" si="14"/>
        <v>لا</v>
      </c>
      <c r="AT75" s="87" t="str">
        <f t="shared" si="15"/>
        <v/>
      </c>
      <c r="AU75" s="88"/>
      <c r="AV75" s="89"/>
      <c r="AW75" s="90"/>
      <c r="AX75" s="91" cm="1">
        <f t="array" ref="AX75">IFERROR(_xlfn.IFS($AB75="عدد الموظفين/الوحدة",S75*$AA75,$AB75='طريقة الحساب'!$B$2,S75*$AA75/الافتراضات!$B$27,$AB75='طريقة الحساب'!$B$3,S75*$AA75/الافتراضات!$B$26,$AB75='طريقة الحساب'!$B$4,S75*$AA75/الافتراضات!$B$28),"")</f>
        <v>9.6873726494731319E-2</v>
      </c>
      <c r="AY75" s="91" cm="1">
        <f t="array" ref="AY75">IFERROR(_xlfn.IFS($AB75="عدد الموظفين/الوحدة",T75*$AA75,$AB75='طريقة الحساب'!$B$2,T75*$AA75/الافتراضات!$B$27,$AB75='طريقة الحساب'!$B$3,T75*$AA75/الافتراضات!$B$26,$AB75='طريقة الحساب'!$B$4,T75*$AA75/الافتراضات!$B$28),"")</f>
        <v>9.889192913003822E-2</v>
      </c>
      <c r="AZ75" s="91" cm="1">
        <f t="array" ref="AZ75">IFERROR(_xlfn.IFS($AB75="عدد الموظفين/الوحدة",U75*$AA75,$AB75='طريقة الحساب'!$B$2,U75*$AA75/الافتراضات!$B$27,$AB75='طريقة الحساب'!$B$3,U75*$AA75/الافتراضات!$B$26,$AB75='طريقة الحساب'!$B$4,U75*$AA75/الافتراضات!$B$28),"")</f>
        <v>9.889192913003822E-2</v>
      </c>
      <c r="BA75" s="91" cm="1">
        <f t="array" ref="BA75">IFERROR(_xlfn.IFS($AB75="عدد الموظفين/الوحدة",V75*$AA75,$AB75='طريقة الحساب'!$B$2,V75*$AA75/الافتراضات!$B$27,$AB75='طريقة الحساب'!$B$3,V75*$AA75/الافتراضات!$B$26,$AB75='طريقة الحساب'!$B$4,V75*$AA75/الافتراضات!$B$28),"")</f>
        <v>0.10091013176534512</v>
      </c>
      <c r="BB75" s="91" cm="1">
        <f t="array" ref="BB75">IFERROR(_xlfn.IFS($AB75="عدد الموظفين/الوحدة",W75*$AA75,$AB75='طريقة الحساب'!$B$2,W75*$AA75/الافتراضات!$B$27,$AB75='طريقة الحساب'!$B$3,W75*$AA75/الافتراضات!$B$26,$AB75='طريقة الحساب'!$B$4,W75*$AA75/الافتراضات!$B$28),"")</f>
        <v>0.10091013176534512</v>
      </c>
      <c r="BC75" s="91" cm="1">
        <f t="array" ref="BC75">IFERROR(_xlfn.IFS($AB75="عدد الموظفين/الوحدة",X75*$AA75,$AB75='طريقة الحساب'!$B$2,X75*$AA75/الافتراضات!$B$27,$AB75='طريقة الحساب'!$B$3,X75*$AA75/الافتراضات!$B$26,$AB75='طريقة الحساب'!$B$4,X75*$AA75/الافتراضات!$B$28),"")</f>
        <v>0.10292833440065204</v>
      </c>
      <c r="BD75" s="91" cm="1">
        <f t="array" ref="BD75">IFERROR(_xlfn.IFS($AB75="عدد الموظفين/الوحدة",Y75*$AA75,$AB75='طريقة الحساب'!$B$2,Y75*$AA75/الافتراضات!$B$27,$AB75='طريقة الحساب'!$B$3,Y75*$AA75/الافتراضات!$B$26,$AB75='طريقة الحساب'!$B$4,Y75*$AA75/الافتراضات!$B$28),"")</f>
        <v>0.10292833440065204</v>
      </c>
      <c r="BE75" s="91" cm="1">
        <f t="array" ref="BE75">IFERROR(_xlfn.IFS($AB75="عدد الموظفين/الوحدة",Z75*$AA75,$AB75='طريقة الحساب'!$B$2,Z75*$AA75/الافتراضات!$B$27,$AB75='طريقة الحساب'!$B$3,Z75*$AA75/الافتراضات!$B$26,$AB75='طريقة الحساب'!$B$4,Z75*$AA75/الافتراضات!$B$28),"")</f>
        <v>0</v>
      </c>
      <c r="BF75" s="92"/>
    </row>
    <row r="76" spans="2:58" x14ac:dyDescent="0.35">
      <c r="B76" s="124" t="s">
        <v>87</v>
      </c>
      <c r="C76" s="131" t="s">
        <v>88</v>
      </c>
      <c r="D76" s="131" t="s">
        <v>90</v>
      </c>
      <c r="E76" s="138" t="s">
        <v>92</v>
      </c>
      <c r="F76" s="125" t="s">
        <v>158</v>
      </c>
      <c r="G76" s="126" t="s">
        <v>84</v>
      </c>
      <c r="H76" s="127"/>
      <c r="I76" s="132">
        <v>384</v>
      </c>
      <c r="J76" s="133">
        <v>386</v>
      </c>
      <c r="K76" s="133">
        <v>386</v>
      </c>
      <c r="L76" s="133">
        <v>388</v>
      </c>
      <c r="M76" s="133">
        <v>388</v>
      </c>
      <c r="N76" s="133">
        <v>390</v>
      </c>
      <c r="O76" s="133">
        <v>390</v>
      </c>
      <c r="P76" s="139">
        <v>10</v>
      </c>
      <c r="Q76" s="134" t="s">
        <v>45</v>
      </c>
      <c r="R76" s="128"/>
      <c r="S76" s="135">
        <v>384</v>
      </c>
      <c r="T76" s="135">
        <v>386</v>
      </c>
      <c r="U76" s="135">
        <v>386</v>
      </c>
      <c r="V76" s="135">
        <v>388</v>
      </c>
      <c r="W76" s="135">
        <v>388</v>
      </c>
      <c r="X76" s="135">
        <v>390</v>
      </c>
      <c r="Y76" s="135">
        <v>390</v>
      </c>
      <c r="Z76" s="79"/>
      <c r="AA76" s="135">
        <v>10</v>
      </c>
      <c r="AB76" s="136" t="s">
        <v>45</v>
      </c>
      <c r="AC76" s="80"/>
      <c r="AD76" s="81"/>
      <c r="AE76" s="82"/>
      <c r="AF76" s="82"/>
      <c r="AG76" s="82"/>
      <c r="AH76" s="82"/>
      <c r="AI76" s="82"/>
      <c r="AJ76" s="82"/>
      <c r="AK76" s="82"/>
      <c r="AL76" s="82"/>
      <c r="AM76" s="83"/>
      <c r="AN76" s="83"/>
      <c r="AO76" s="84" t="str">
        <f t="shared" si="10"/>
        <v>لا</v>
      </c>
      <c r="AP76" s="85" t="str">
        <f t="shared" si="11"/>
        <v/>
      </c>
      <c r="AQ76" s="84" t="str">
        <f t="shared" si="12"/>
        <v>لا</v>
      </c>
      <c r="AR76" s="85" t="str">
        <f t="shared" si="13"/>
        <v/>
      </c>
      <c r="AS76" s="86" t="str">
        <f t="shared" si="14"/>
        <v>لا</v>
      </c>
      <c r="AT76" s="87" t="str">
        <f t="shared" si="15"/>
        <v/>
      </c>
      <c r="AU76" s="88"/>
      <c r="AV76" s="89"/>
      <c r="AW76" s="90"/>
      <c r="AX76" s="91" cm="1">
        <f t="array" ref="AX76">IFERROR(_xlfn.IFS($AB76="عدد الموظفين/الوحدة",S76*$AA76,$AB76='طريقة الحساب'!$B$2,S76*$AA76/الافتراضات!$B$27,$AB76='طريقة الحساب'!$B$3,S76*$AA76/الافتراضات!$B$26,$AB76='طريقة الحساب'!$B$4,S76*$AA76/الافتراضات!$B$28),"")</f>
        <v>6.4582484329820888E-2</v>
      </c>
      <c r="AY76" s="91" cm="1">
        <f t="array" ref="AY76">IFERROR(_xlfn.IFS($AB76="عدد الموظفين/الوحدة",T76*$AA76,$AB76='طريقة الحساب'!$B$2,T76*$AA76/الافتراضات!$B$27,$AB76='طريقة الحساب'!$B$3,T76*$AA76/الافتراضات!$B$26,$AB76='طريقة الحساب'!$B$4,T76*$AA76/الافتراضات!$B$28),"")</f>
        <v>6.491885143570536E-2</v>
      </c>
      <c r="AZ76" s="91" cm="1">
        <f t="array" ref="AZ76">IFERROR(_xlfn.IFS($AB76="عدد الموظفين/الوحدة",U76*$AA76,$AB76='طريقة الحساب'!$B$2,U76*$AA76/الافتراضات!$B$27,$AB76='طريقة الحساب'!$B$3,U76*$AA76/الافتراضات!$B$26,$AB76='طريقة الحساب'!$B$4,U76*$AA76/الافتراضات!$B$28),"")</f>
        <v>6.491885143570536E-2</v>
      </c>
      <c r="BA76" s="91" cm="1">
        <f t="array" ref="BA76">IFERROR(_xlfn.IFS($AB76="عدد الموظفين/الوحدة",V76*$AA76,$AB76='طريقة الحساب'!$B$2,V76*$AA76/الافتراضات!$B$27,$AB76='طريقة الحساب'!$B$3,V76*$AA76/الافتراضات!$B$26,$AB76='طريقة الحساب'!$B$4,V76*$AA76/الافتراضات!$B$28),"")</f>
        <v>6.5255218541589846E-2</v>
      </c>
      <c r="BB76" s="91" cm="1">
        <f t="array" ref="BB76">IFERROR(_xlfn.IFS($AB76="عدد الموظفين/الوحدة",W76*$AA76,$AB76='طريقة الحساب'!$B$2,W76*$AA76/الافتراضات!$B$27,$AB76='طريقة الحساب'!$B$3,W76*$AA76/الافتراضات!$B$26,$AB76='طريقة الحساب'!$B$4,W76*$AA76/الافتراضات!$B$28),"")</f>
        <v>6.5255218541589846E-2</v>
      </c>
      <c r="BC76" s="91" cm="1">
        <f t="array" ref="BC76">IFERROR(_xlfn.IFS($AB76="عدد الموظفين/الوحدة",X76*$AA76,$AB76='طريقة الحساب'!$B$2,X76*$AA76/الافتراضات!$B$27,$AB76='طريقة الحساب'!$B$3,X76*$AA76/الافتراضات!$B$26,$AB76='طريقة الحساب'!$B$4,X76*$AA76/الافتراضات!$B$28),"")</f>
        <v>6.5591585647474332E-2</v>
      </c>
      <c r="BD76" s="91" cm="1">
        <f t="array" ref="BD76">IFERROR(_xlfn.IFS($AB76="عدد الموظفين/الوحدة",Y76*$AA76,$AB76='طريقة الحساب'!$B$2,Y76*$AA76/الافتراضات!$B$27,$AB76='طريقة الحساب'!$B$3,Y76*$AA76/الافتراضات!$B$26,$AB76='طريقة الحساب'!$B$4,Y76*$AA76/الافتراضات!$B$28),"")</f>
        <v>6.5591585647474332E-2</v>
      </c>
      <c r="BE76" s="91" cm="1">
        <f t="array" ref="BE76">IFERROR(_xlfn.IFS($AB76="عدد الموظفين/الوحدة",Z76*$AA76,$AB76='طريقة الحساب'!$B$2,Z76*$AA76/الافتراضات!$B$27,$AB76='طريقة الحساب'!$B$3,Z76*$AA76/الافتراضات!$B$26,$AB76='طريقة الحساب'!$B$4,Z76*$AA76/الافتراضات!$B$28),"")</f>
        <v>0</v>
      </c>
      <c r="BF76" s="92"/>
    </row>
    <row r="77" spans="2:58" x14ac:dyDescent="0.35">
      <c r="B77" s="124" t="s">
        <v>87</v>
      </c>
      <c r="C77" s="131" t="s">
        <v>88</v>
      </c>
      <c r="D77" s="131" t="s">
        <v>90</v>
      </c>
      <c r="E77" s="138" t="s">
        <v>92</v>
      </c>
      <c r="F77" s="125" t="s">
        <v>159</v>
      </c>
      <c r="G77" s="126" t="s">
        <v>84</v>
      </c>
      <c r="H77" s="127"/>
      <c r="I77" s="132">
        <v>384</v>
      </c>
      <c r="J77" s="133">
        <v>386</v>
      </c>
      <c r="K77" s="133">
        <v>386</v>
      </c>
      <c r="L77" s="133">
        <v>388</v>
      </c>
      <c r="M77" s="133">
        <v>388</v>
      </c>
      <c r="N77" s="133">
        <v>390</v>
      </c>
      <c r="O77" s="133">
        <v>390</v>
      </c>
      <c r="P77" s="139">
        <v>10</v>
      </c>
      <c r="Q77" s="134" t="s">
        <v>45</v>
      </c>
      <c r="R77" s="128"/>
      <c r="S77" s="135">
        <v>384</v>
      </c>
      <c r="T77" s="135">
        <v>386</v>
      </c>
      <c r="U77" s="135">
        <v>386</v>
      </c>
      <c r="V77" s="135">
        <v>388</v>
      </c>
      <c r="W77" s="135">
        <v>388</v>
      </c>
      <c r="X77" s="135">
        <v>390</v>
      </c>
      <c r="Y77" s="135">
        <v>390</v>
      </c>
      <c r="Z77" s="79"/>
      <c r="AA77" s="135">
        <v>10</v>
      </c>
      <c r="AB77" s="136" t="s">
        <v>45</v>
      </c>
      <c r="AC77" s="80"/>
      <c r="AD77" s="81"/>
      <c r="AE77" s="82"/>
      <c r="AF77" s="82"/>
      <c r="AG77" s="82"/>
      <c r="AH77" s="82"/>
      <c r="AI77" s="82"/>
      <c r="AJ77" s="82"/>
      <c r="AK77" s="82"/>
      <c r="AL77" s="82"/>
      <c r="AM77" s="83"/>
      <c r="AN77" s="83"/>
      <c r="AO77" s="84" t="str">
        <f t="shared" si="10"/>
        <v>لا</v>
      </c>
      <c r="AP77" s="85" t="str">
        <f t="shared" si="11"/>
        <v/>
      </c>
      <c r="AQ77" s="84" t="str">
        <f t="shared" si="12"/>
        <v>لا</v>
      </c>
      <c r="AR77" s="85" t="str">
        <f t="shared" si="13"/>
        <v/>
      </c>
      <c r="AS77" s="86" t="str">
        <f t="shared" si="14"/>
        <v>لا</v>
      </c>
      <c r="AT77" s="87" t="str">
        <f t="shared" si="15"/>
        <v/>
      </c>
      <c r="AU77" s="88"/>
      <c r="AV77" s="89"/>
      <c r="AW77" s="90"/>
      <c r="AX77" s="91" cm="1">
        <f t="array" ref="AX77">IFERROR(_xlfn.IFS($AB77="عدد الموظفين/الوحدة",S77*$AA77,$AB77='طريقة الحساب'!$B$2,S77*$AA77/الافتراضات!$B$27,$AB77='طريقة الحساب'!$B$3,S77*$AA77/الافتراضات!$B$26,$AB77='طريقة الحساب'!$B$4,S77*$AA77/الافتراضات!$B$28),"")</f>
        <v>6.4582484329820888E-2</v>
      </c>
      <c r="AY77" s="91" cm="1">
        <f t="array" ref="AY77">IFERROR(_xlfn.IFS($AB77="عدد الموظفين/الوحدة",T77*$AA77,$AB77='طريقة الحساب'!$B$2,T77*$AA77/الافتراضات!$B$27,$AB77='طريقة الحساب'!$B$3,T77*$AA77/الافتراضات!$B$26,$AB77='طريقة الحساب'!$B$4,T77*$AA77/الافتراضات!$B$28),"")</f>
        <v>6.491885143570536E-2</v>
      </c>
      <c r="AZ77" s="91" cm="1">
        <f t="array" ref="AZ77">IFERROR(_xlfn.IFS($AB77="عدد الموظفين/الوحدة",U77*$AA77,$AB77='طريقة الحساب'!$B$2,U77*$AA77/الافتراضات!$B$27,$AB77='طريقة الحساب'!$B$3,U77*$AA77/الافتراضات!$B$26,$AB77='طريقة الحساب'!$B$4,U77*$AA77/الافتراضات!$B$28),"")</f>
        <v>6.491885143570536E-2</v>
      </c>
      <c r="BA77" s="91" cm="1">
        <f t="array" ref="BA77">IFERROR(_xlfn.IFS($AB77="عدد الموظفين/الوحدة",V77*$AA77,$AB77='طريقة الحساب'!$B$2,V77*$AA77/الافتراضات!$B$27,$AB77='طريقة الحساب'!$B$3,V77*$AA77/الافتراضات!$B$26,$AB77='طريقة الحساب'!$B$4,V77*$AA77/الافتراضات!$B$28),"")</f>
        <v>6.5255218541589846E-2</v>
      </c>
      <c r="BB77" s="91" cm="1">
        <f t="array" ref="BB77">IFERROR(_xlfn.IFS($AB77="عدد الموظفين/الوحدة",W77*$AA77,$AB77='طريقة الحساب'!$B$2,W77*$AA77/الافتراضات!$B$27,$AB77='طريقة الحساب'!$B$3,W77*$AA77/الافتراضات!$B$26,$AB77='طريقة الحساب'!$B$4,W77*$AA77/الافتراضات!$B$28),"")</f>
        <v>6.5255218541589846E-2</v>
      </c>
      <c r="BC77" s="91" cm="1">
        <f t="array" ref="BC77">IFERROR(_xlfn.IFS($AB77="عدد الموظفين/الوحدة",X77*$AA77,$AB77='طريقة الحساب'!$B$2,X77*$AA77/الافتراضات!$B$27,$AB77='طريقة الحساب'!$B$3,X77*$AA77/الافتراضات!$B$26,$AB77='طريقة الحساب'!$B$4,X77*$AA77/الافتراضات!$B$28),"")</f>
        <v>6.5591585647474332E-2</v>
      </c>
      <c r="BD77" s="91" cm="1">
        <f t="array" ref="BD77">IFERROR(_xlfn.IFS($AB77="عدد الموظفين/الوحدة",Y77*$AA77,$AB77='طريقة الحساب'!$B$2,Y77*$AA77/الافتراضات!$B$27,$AB77='طريقة الحساب'!$B$3,Y77*$AA77/الافتراضات!$B$26,$AB77='طريقة الحساب'!$B$4,Y77*$AA77/الافتراضات!$B$28),"")</f>
        <v>6.5591585647474332E-2</v>
      </c>
      <c r="BE77" s="91" cm="1">
        <f t="array" ref="BE77">IFERROR(_xlfn.IFS($AB77="عدد الموظفين/الوحدة",Z77*$AA77,$AB77='طريقة الحساب'!$B$2,Z77*$AA77/الافتراضات!$B$27,$AB77='طريقة الحساب'!$B$3,Z77*$AA77/الافتراضات!$B$26,$AB77='طريقة الحساب'!$B$4,Z77*$AA77/الافتراضات!$B$28),"")</f>
        <v>0</v>
      </c>
      <c r="BF77" s="92"/>
    </row>
    <row r="78" spans="2:58" x14ac:dyDescent="0.35">
      <c r="B78" s="124" t="s">
        <v>87</v>
      </c>
      <c r="C78" s="131" t="s">
        <v>88</v>
      </c>
      <c r="D78" s="131" t="s">
        <v>90</v>
      </c>
      <c r="E78" s="138" t="s">
        <v>92</v>
      </c>
      <c r="F78" s="125" t="s">
        <v>160</v>
      </c>
      <c r="G78" s="126" t="s">
        <v>84</v>
      </c>
      <c r="H78" s="127"/>
      <c r="I78" s="132">
        <v>252</v>
      </c>
      <c r="J78" s="133">
        <v>252</v>
      </c>
      <c r="K78" s="133">
        <v>252</v>
      </c>
      <c r="L78" s="133">
        <v>252</v>
      </c>
      <c r="M78" s="133">
        <v>252</v>
      </c>
      <c r="N78" s="133">
        <v>252</v>
      </c>
      <c r="O78" s="133">
        <v>252</v>
      </c>
      <c r="P78" s="139">
        <v>30</v>
      </c>
      <c r="Q78" s="134" t="s">
        <v>45</v>
      </c>
      <c r="R78" s="128"/>
      <c r="S78" s="135">
        <v>252</v>
      </c>
      <c r="T78" s="135">
        <v>252</v>
      </c>
      <c r="U78" s="135">
        <v>252</v>
      </c>
      <c r="V78" s="135">
        <v>252</v>
      </c>
      <c r="W78" s="135">
        <v>252</v>
      </c>
      <c r="X78" s="135">
        <v>252</v>
      </c>
      <c r="Y78" s="135">
        <v>252</v>
      </c>
      <c r="Z78" s="79"/>
      <c r="AA78" s="135">
        <v>30</v>
      </c>
      <c r="AB78" s="136" t="s">
        <v>45</v>
      </c>
      <c r="AC78" s="80"/>
      <c r="AD78" s="81"/>
      <c r="AE78" s="82"/>
      <c r="AF78" s="82"/>
      <c r="AG78" s="82"/>
      <c r="AH78" s="82"/>
      <c r="AI78" s="82"/>
      <c r="AJ78" s="82"/>
      <c r="AK78" s="82"/>
      <c r="AL78" s="82"/>
      <c r="AM78" s="83"/>
      <c r="AN78" s="83"/>
      <c r="AO78" s="84" t="str">
        <f t="shared" si="10"/>
        <v>لا</v>
      </c>
      <c r="AP78" s="85" t="str">
        <f t="shared" si="11"/>
        <v/>
      </c>
      <c r="AQ78" s="84" t="str">
        <f t="shared" si="12"/>
        <v>لا</v>
      </c>
      <c r="AR78" s="85" t="str">
        <f t="shared" si="13"/>
        <v/>
      </c>
      <c r="AS78" s="86" t="str">
        <f t="shared" si="14"/>
        <v>لا</v>
      </c>
      <c r="AT78" s="87" t="str">
        <f t="shared" si="15"/>
        <v/>
      </c>
      <c r="AU78" s="88"/>
      <c r="AV78" s="89"/>
      <c r="AW78" s="90"/>
      <c r="AX78" s="91" cm="1">
        <f t="array" ref="AX78">IFERROR(_xlfn.IFS($AB78="عدد الموظفين/الوحدة",S78*$AA78,$AB78='طريقة الحساب'!$B$2,S78*$AA78/الافتراضات!$B$27,$AB78='طريقة الحساب'!$B$3,S78*$AA78/الافتراضات!$B$26,$AB78='طريقة الحساب'!$B$4,S78*$AA78/الافتراضات!$B$28),"")</f>
        <v>0.12714676602433486</v>
      </c>
      <c r="AY78" s="91" cm="1">
        <f t="array" ref="AY78">IFERROR(_xlfn.IFS($AB78="عدد الموظفين/الوحدة",T78*$AA78,$AB78='طريقة الحساب'!$B$2,T78*$AA78/الافتراضات!$B$27,$AB78='طريقة الحساب'!$B$3,T78*$AA78/الافتراضات!$B$26,$AB78='طريقة الحساب'!$B$4,T78*$AA78/الافتراضات!$B$28),"")</f>
        <v>0.12714676602433486</v>
      </c>
      <c r="AZ78" s="91" cm="1">
        <f t="array" ref="AZ78">IFERROR(_xlfn.IFS($AB78="عدد الموظفين/الوحدة",U78*$AA78,$AB78='طريقة الحساب'!$B$2,U78*$AA78/الافتراضات!$B$27,$AB78='طريقة الحساب'!$B$3,U78*$AA78/الافتراضات!$B$26,$AB78='طريقة الحساب'!$B$4,U78*$AA78/الافتراضات!$B$28),"")</f>
        <v>0.12714676602433486</v>
      </c>
      <c r="BA78" s="91" cm="1">
        <f t="array" ref="BA78">IFERROR(_xlfn.IFS($AB78="عدد الموظفين/الوحدة",V78*$AA78,$AB78='طريقة الحساب'!$B$2,V78*$AA78/الافتراضات!$B$27,$AB78='طريقة الحساب'!$B$3,V78*$AA78/الافتراضات!$B$26,$AB78='طريقة الحساب'!$B$4,V78*$AA78/الافتراضات!$B$28),"")</f>
        <v>0.12714676602433486</v>
      </c>
      <c r="BB78" s="91" cm="1">
        <f t="array" ref="BB78">IFERROR(_xlfn.IFS($AB78="عدد الموظفين/الوحدة",W78*$AA78,$AB78='طريقة الحساب'!$B$2,W78*$AA78/الافتراضات!$B$27,$AB78='طريقة الحساب'!$B$3,W78*$AA78/الافتراضات!$B$26,$AB78='طريقة الحساب'!$B$4,W78*$AA78/الافتراضات!$B$28),"")</f>
        <v>0.12714676602433486</v>
      </c>
      <c r="BC78" s="91" cm="1">
        <f t="array" ref="BC78">IFERROR(_xlfn.IFS($AB78="عدد الموظفين/الوحدة",X78*$AA78,$AB78='طريقة الحساب'!$B$2,X78*$AA78/الافتراضات!$B$27,$AB78='طريقة الحساب'!$B$3,X78*$AA78/الافتراضات!$B$26,$AB78='طريقة الحساب'!$B$4,X78*$AA78/الافتراضات!$B$28),"")</f>
        <v>0.12714676602433486</v>
      </c>
      <c r="BD78" s="91" cm="1">
        <f t="array" ref="BD78">IFERROR(_xlfn.IFS($AB78="عدد الموظفين/الوحدة",Y78*$AA78,$AB78='طريقة الحساب'!$B$2,Y78*$AA78/الافتراضات!$B$27,$AB78='طريقة الحساب'!$B$3,Y78*$AA78/الافتراضات!$B$26,$AB78='طريقة الحساب'!$B$4,Y78*$AA78/الافتراضات!$B$28),"")</f>
        <v>0.12714676602433486</v>
      </c>
      <c r="BE78" s="91" cm="1">
        <f t="array" ref="BE78">IFERROR(_xlfn.IFS($AB78="عدد الموظفين/الوحدة",Z78*$AA78,$AB78='طريقة الحساب'!$B$2,Z78*$AA78/الافتراضات!$B$27,$AB78='طريقة الحساب'!$B$3,Z78*$AA78/الافتراضات!$B$26,$AB78='طريقة الحساب'!$B$4,Z78*$AA78/الافتراضات!$B$28),"")</f>
        <v>0</v>
      </c>
      <c r="BF78" s="92"/>
    </row>
    <row r="79" spans="2:58" x14ac:dyDescent="0.35">
      <c r="B79" s="124" t="s">
        <v>87</v>
      </c>
      <c r="C79" s="131" t="s">
        <v>88</v>
      </c>
      <c r="D79" s="131" t="s">
        <v>90</v>
      </c>
      <c r="E79" s="138" t="s">
        <v>92</v>
      </c>
      <c r="F79" s="125" t="s">
        <v>161</v>
      </c>
      <c r="G79" s="126" t="s">
        <v>84</v>
      </c>
      <c r="H79" s="127"/>
      <c r="I79" s="132">
        <v>384</v>
      </c>
      <c r="J79" s="133">
        <v>384</v>
      </c>
      <c r="K79" s="133">
        <v>384</v>
      </c>
      <c r="L79" s="133">
        <v>384</v>
      </c>
      <c r="M79" s="133">
        <v>384</v>
      </c>
      <c r="N79" s="133">
        <v>384</v>
      </c>
      <c r="O79" s="133">
        <v>384</v>
      </c>
      <c r="P79" s="139">
        <v>10</v>
      </c>
      <c r="Q79" s="134" t="s">
        <v>45</v>
      </c>
      <c r="R79" s="128"/>
      <c r="S79" s="135">
        <v>384</v>
      </c>
      <c r="T79" s="135">
        <v>384</v>
      </c>
      <c r="U79" s="135">
        <v>384</v>
      </c>
      <c r="V79" s="135">
        <v>384</v>
      </c>
      <c r="W79" s="135">
        <v>384</v>
      </c>
      <c r="X79" s="135">
        <v>384</v>
      </c>
      <c r="Y79" s="135">
        <v>384</v>
      </c>
      <c r="Z79" s="79"/>
      <c r="AA79" s="135">
        <v>10</v>
      </c>
      <c r="AB79" s="136" t="s">
        <v>45</v>
      </c>
      <c r="AC79" s="80"/>
      <c r="AD79" s="81"/>
      <c r="AE79" s="82"/>
      <c r="AF79" s="82"/>
      <c r="AG79" s="82"/>
      <c r="AH79" s="82"/>
      <c r="AI79" s="82"/>
      <c r="AJ79" s="82"/>
      <c r="AK79" s="82"/>
      <c r="AL79" s="82"/>
      <c r="AM79" s="83"/>
      <c r="AN79" s="83"/>
      <c r="AO79" s="84" t="str">
        <f t="shared" si="10"/>
        <v>لا</v>
      </c>
      <c r="AP79" s="85" t="str">
        <f t="shared" si="11"/>
        <v/>
      </c>
      <c r="AQ79" s="84" t="str">
        <f t="shared" si="12"/>
        <v>لا</v>
      </c>
      <c r="AR79" s="85" t="str">
        <f t="shared" si="13"/>
        <v/>
      </c>
      <c r="AS79" s="86" t="str">
        <f t="shared" si="14"/>
        <v>لا</v>
      </c>
      <c r="AT79" s="87" t="str">
        <f t="shared" si="15"/>
        <v/>
      </c>
      <c r="AU79" s="88"/>
      <c r="AV79" s="89"/>
      <c r="AW79" s="90"/>
      <c r="AX79" s="91" cm="1">
        <f t="array" ref="AX79">IFERROR(_xlfn.IFS($AB79="عدد الموظفين/الوحدة",S79*$AA79,$AB79='طريقة الحساب'!$B$2,S79*$AA79/الافتراضات!$B$27,$AB79='طريقة الحساب'!$B$3,S79*$AA79/الافتراضات!$B$26,$AB79='طريقة الحساب'!$B$4,S79*$AA79/الافتراضات!$B$28),"")</f>
        <v>6.4582484329820888E-2</v>
      </c>
      <c r="AY79" s="91" cm="1">
        <f t="array" ref="AY79">IFERROR(_xlfn.IFS($AB79="عدد الموظفين/الوحدة",T79*$AA79,$AB79='طريقة الحساب'!$B$2,T79*$AA79/الافتراضات!$B$27,$AB79='طريقة الحساب'!$B$3,T79*$AA79/الافتراضات!$B$26,$AB79='طريقة الحساب'!$B$4,T79*$AA79/الافتراضات!$B$28),"")</f>
        <v>6.4582484329820888E-2</v>
      </c>
      <c r="AZ79" s="91" cm="1">
        <f t="array" ref="AZ79">IFERROR(_xlfn.IFS($AB79="عدد الموظفين/الوحدة",U79*$AA79,$AB79='طريقة الحساب'!$B$2,U79*$AA79/الافتراضات!$B$27,$AB79='طريقة الحساب'!$B$3,U79*$AA79/الافتراضات!$B$26,$AB79='طريقة الحساب'!$B$4,U79*$AA79/الافتراضات!$B$28),"")</f>
        <v>6.4582484329820888E-2</v>
      </c>
      <c r="BA79" s="91" cm="1">
        <f t="array" ref="BA79">IFERROR(_xlfn.IFS($AB79="عدد الموظفين/الوحدة",V79*$AA79,$AB79='طريقة الحساب'!$B$2,V79*$AA79/الافتراضات!$B$27,$AB79='طريقة الحساب'!$B$3,V79*$AA79/الافتراضات!$B$26,$AB79='طريقة الحساب'!$B$4,V79*$AA79/الافتراضات!$B$28),"")</f>
        <v>6.4582484329820888E-2</v>
      </c>
      <c r="BB79" s="91" cm="1">
        <f t="array" ref="BB79">IFERROR(_xlfn.IFS($AB79="عدد الموظفين/الوحدة",W79*$AA79,$AB79='طريقة الحساب'!$B$2,W79*$AA79/الافتراضات!$B$27,$AB79='طريقة الحساب'!$B$3,W79*$AA79/الافتراضات!$B$26,$AB79='طريقة الحساب'!$B$4,W79*$AA79/الافتراضات!$B$28),"")</f>
        <v>6.4582484329820888E-2</v>
      </c>
      <c r="BC79" s="91" cm="1">
        <f t="array" ref="BC79">IFERROR(_xlfn.IFS($AB79="عدد الموظفين/الوحدة",X79*$AA79,$AB79='طريقة الحساب'!$B$2,X79*$AA79/الافتراضات!$B$27,$AB79='طريقة الحساب'!$B$3,X79*$AA79/الافتراضات!$B$26,$AB79='طريقة الحساب'!$B$4,X79*$AA79/الافتراضات!$B$28),"")</f>
        <v>6.4582484329820888E-2</v>
      </c>
      <c r="BD79" s="91" cm="1">
        <f t="array" ref="BD79">IFERROR(_xlfn.IFS($AB79="عدد الموظفين/الوحدة",Y79*$AA79,$AB79='طريقة الحساب'!$B$2,Y79*$AA79/الافتراضات!$B$27,$AB79='طريقة الحساب'!$B$3,Y79*$AA79/الافتراضات!$B$26,$AB79='طريقة الحساب'!$B$4,Y79*$AA79/الافتراضات!$B$28),"")</f>
        <v>6.4582484329820888E-2</v>
      </c>
      <c r="BE79" s="91" cm="1">
        <f t="array" ref="BE79">IFERROR(_xlfn.IFS($AB79="عدد الموظفين/الوحدة",Z79*$AA79,$AB79='طريقة الحساب'!$B$2,Z79*$AA79/الافتراضات!$B$27,$AB79='طريقة الحساب'!$B$3,Z79*$AA79/الافتراضات!$B$26,$AB79='طريقة الحساب'!$B$4,Z79*$AA79/الافتراضات!$B$28),"")</f>
        <v>0</v>
      </c>
      <c r="BF79" s="92"/>
    </row>
    <row r="80" spans="2:58" x14ac:dyDescent="0.35">
      <c r="B80" s="124" t="s">
        <v>87</v>
      </c>
      <c r="C80" s="131" t="s">
        <v>88</v>
      </c>
      <c r="D80" s="131" t="s">
        <v>90</v>
      </c>
      <c r="E80" s="138" t="s">
        <v>92</v>
      </c>
      <c r="F80" s="125" t="s">
        <v>162</v>
      </c>
      <c r="G80" s="126" t="s">
        <v>84</v>
      </c>
      <c r="H80" s="127"/>
      <c r="I80" s="132">
        <v>192</v>
      </c>
      <c r="J80" s="133">
        <v>192</v>
      </c>
      <c r="K80" s="133">
        <v>192</v>
      </c>
      <c r="L80" s="133">
        <v>192</v>
      </c>
      <c r="M80" s="133">
        <v>192</v>
      </c>
      <c r="N80" s="133">
        <v>192</v>
      </c>
      <c r="O80" s="133">
        <v>192</v>
      </c>
      <c r="P80" s="139">
        <v>30</v>
      </c>
      <c r="Q80" s="134" t="s">
        <v>45</v>
      </c>
      <c r="R80" s="128"/>
      <c r="S80" s="135">
        <v>192</v>
      </c>
      <c r="T80" s="135">
        <v>192</v>
      </c>
      <c r="U80" s="135">
        <v>192</v>
      </c>
      <c r="V80" s="135">
        <v>192</v>
      </c>
      <c r="W80" s="135">
        <v>192</v>
      </c>
      <c r="X80" s="135">
        <v>192</v>
      </c>
      <c r="Y80" s="135">
        <v>192</v>
      </c>
      <c r="Z80" s="79"/>
      <c r="AA80" s="135">
        <v>30</v>
      </c>
      <c r="AB80" s="136" t="s">
        <v>45</v>
      </c>
      <c r="AC80" s="80"/>
      <c r="AD80" s="81"/>
      <c r="AE80" s="82"/>
      <c r="AF80" s="82"/>
      <c r="AG80" s="82"/>
      <c r="AH80" s="82"/>
      <c r="AI80" s="82"/>
      <c r="AJ80" s="82"/>
      <c r="AK80" s="82"/>
      <c r="AL80" s="82"/>
      <c r="AM80" s="83"/>
      <c r="AN80" s="83"/>
      <c r="AO80" s="84" t="str">
        <f t="shared" si="10"/>
        <v>لا</v>
      </c>
      <c r="AP80" s="85" t="str">
        <f t="shared" si="11"/>
        <v/>
      </c>
      <c r="AQ80" s="84" t="str">
        <f t="shared" si="12"/>
        <v>لا</v>
      </c>
      <c r="AR80" s="85" t="str">
        <f t="shared" si="13"/>
        <v/>
      </c>
      <c r="AS80" s="86" t="str">
        <f t="shared" si="14"/>
        <v>لا</v>
      </c>
      <c r="AT80" s="87" t="str">
        <f t="shared" si="15"/>
        <v/>
      </c>
      <c r="AU80" s="88"/>
      <c r="AV80" s="89"/>
      <c r="AW80" s="90"/>
      <c r="AX80" s="91" cm="1">
        <f t="array" ref="AX80">IFERROR(_xlfn.IFS($AB80="عدد الموظفين/الوحدة",S80*$AA80,$AB80='طريقة الحساب'!$B$2,S80*$AA80/الافتراضات!$B$27,$AB80='طريقة الحساب'!$B$3,S80*$AA80/الافتراضات!$B$26,$AB80='طريقة الحساب'!$B$4,S80*$AA80/الافتراضات!$B$28),"")</f>
        <v>9.6873726494731319E-2</v>
      </c>
      <c r="AY80" s="91" cm="1">
        <f t="array" ref="AY80">IFERROR(_xlfn.IFS($AB80="عدد الموظفين/الوحدة",T80*$AA80,$AB80='طريقة الحساب'!$B$2,T80*$AA80/الافتراضات!$B$27,$AB80='طريقة الحساب'!$B$3,T80*$AA80/الافتراضات!$B$26,$AB80='طريقة الحساب'!$B$4,T80*$AA80/الافتراضات!$B$28),"")</f>
        <v>9.6873726494731319E-2</v>
      </c>
      <c r="AZ80" s="91" cm="1">
        <f t="array" ref="AZ80">IFERROR(_xlfn.IFS($AB80="عدد الموظفين/الوحدة",U80*$AA80,$AB80='طريقة الحساب'!$B$2,U80*$AA80/الافتراضات!$B$27,$AB80='طريقة الحساب'!$B$3,U80*$AA80/الافتراضات!$B$26,$AB80='طريقة الحساب'!$B$4,U80*$AA80/الافتراضات!$B$28),"")</f>
        <v>9.6873726494731319E-2</v>
      </c>
      <c r="BA80" s="91" cm="1">
        <f t="array" ref="BA80">IFERROR(_xlfn.IFS($AB80="عدد الموظفين/الوحدة",V80*$AA80,$AB80='طريقة الحساب'!$B$2,V80*$AA80/الافتراضات!$B$27,$AB80='طريقة الحساب'!$B$3,V80*$AA80/الافتراضات!$B$26,$AB80='طريقة الحساب'!$B$4,V80*$AA80/الافتراضات!$B$28),"")</f>
        <v>9.6873726494731319E-2</v>
      </c>
      <c r="BB80" s="91" cm="1">
        <f t="array" ref="BB80">IFERROR(_xlfn.IFS($AB80="عدد الموظفين/الوحدة",W80*$AA80,$AB80='طريقة الحساب'!$B$2,W80*$AA80/الافتراضات!$B$27,$AB80='طريقة الحساب'!$B$3,W80*$AA80/الافتراضات!$B$26,$AB80='طريقة الحساب'!$B$4,W80*$AA80/الافتراضات!$B$28),"")</f>
        <v>9.6873726494731319E-2</v>
      </c>
      <c r="BC80" s="91" cm="1">
        <f t="array" ref="BC80">IFERROR(_xlfn.IFS($AB80="عدد الموظفين/الوحدة",X80*$AA80,$AB80='طريقة الحساب'!$B$2,X80*$AA80/الافتراضات!$B$27,$AB80='طريقة الحساب'!$B$3,X80*$AA80/الافتراضات!$B$26,$AB80='طريقة الحساب'!$B$4,X80*$AA80/الافتراضات!$B$28),"")</f>
        <v>9.6873726494731319E-2</v>
      </c>
      <c r="BD80" s="91" cm="1">
        <f t="array" ref="BD80">IFERROR(_xlfn.IFS($AB80="عدد الموظفين/الوحدة",Y80*$AA80,$AB80='طريقة الحساب'!$B$2,Y80*$AA80/الافتراضات!$B$27,$AB80='طريقة الحساب'!$B$3,Y80*$AA80/الافتراضات!$B$26,$AB80='طريقة الحساب'!$B$4,Y80*$AA80/الافتراضات!$B$28),"")</f>
        <v>9.6873726494731319E-2</v>
      </c>
      <c r="BE80" s="91" cm="1">
        <f t="array" ref="BE80">IFERROR(_xlfn.IFS($AB80="عدد الموظفين/الوحدة",Z80*$AA80,$AB80='طريقة الحساب'!$B$2,Z80*$AA80/الافتراضات!$B$27,$AB80='طريقة الحساب'!$B$3,Z80*$AA80/الافتراضات!$B$26,$AB80='طريقة الحساب'!$B$4,Z80*$AA80/الافتراضات!$B$28),"")</f>
        <v>0</v>
      </c>
      <c r="BF80" s="92"/>
    </row>
    <row r="81" spans="2:58" x14ac:dyDescent="0.35">
      <c r="B81" s="124" t="s">
        <v>87</v>
      </c>
      <c r="C81" s="131" t="s">
        <v>88</v>
      </c>
      <c r="D81" s="131" t="s">
        <v>90</v>
      </c>
      <c r="E81" s="138" t="s">
        <v>92</v>
      </c>
      <c r="F81" s="125" t="s">
        <v>163</v>
      </c>
      <c r="G81" s="126" t="s">
        <v>84</v>
      </c>
      <c r="H81" s="127"/>
      <c r="I81" s="132">
        <v>192</v>
      </c>
      <c r="J81" s="133">
        <v>192</v>
      </c>
      <c r="K81" s="133">
        <v>192</v>
      </c>
      <c r="L81" s="133">
        <v>192</v>
      </c>
      <c r="M81" s="133">
        <v>192</v>
      </c>
      <c r="N81" s="133">
        <v>192</v>
      </c>
      <c r="O81" s="133">
        <v>192</v>
      </c>
      <c r="P81" s="139">
        <v>30</v>
      </c>
      <c r="Q81" s="134" t="s">
        <v>45</v>
      </c>
      <c r="R81" s="128"/>
      <c r="S81" s="135">
        <v>192</v>
      </c>
      <c r="T81" s="135">
        <v>192</v>
      </c>
      <c r="U81" s="135">
        <v>192</v>
      </c>
      <c r="V81" s="135">
        <v>192</v>
      </c>
      <c r="W81" s="135">
        <v>192</v>
      </c>
      <c r="X81" s="135">
        <v>192</v>
      </c>
      <c r="Y81" s="135">
        <v>192</v>
      </c>
      <c r="Z81" s="79"/>
      <c r="AA81" s="135">
        <v>30</v>
      </c>
      <c r="AB81" s="136" t="s">
        <v>45</v>
      </c>
      <c r="AC81" s="80"/>
      <c r="AD81" s="81"/>
      <c r="AE81" s="82"/>
      <c r="AF81" s="82"/>
      <c r="AG81" s="82"/>
      <c r="AH81" s="82"/>
      <c r="AI81" s="82"/>
      <c r="AJ81" s="82"/>
      <c r="AK81" s="82"/>
      <c r="AL81" s="82"/>
      <c r="AM81" s="83"/>
      <c r="AN81" s="83"/>
      <c r="AO81" s="84" t="str">
        <f t="shared" si="10"/>
        <v>لا</v>
      </c>
      <c r="AP81" s="85" t="str">
        <f t="shared" si="11"/>
        <v/>
      </c>
      <c r="AQ81" s="84" t="str">
        <f t="shared" si="12"/>
        <v>لا</v>
      </c>
      <c r="AR81" s="85" t="str">
        <f t="shared" si="13"/>
        <v/>
      </c>
      <c r="AS81" s="86" t="str">
        <f t="shared" si="14"/>
        <v>لا</v>
      </c>
      <c r="AT81" s="87" t="str">
        <f t="shared" si="15"/>
        <v/>
      </c>
      <c r="AU81" s="88"/>
      <c r="AV81" s="89"/>
      <c r="AW81" s="90"/>
      <c r="AX81" s="91" cm="1">
        <f t="array" ref="AX81">IFERROR(_xlfn.IFS($AB81="عدد الموظفين/الوحدة",S81*$AA81,$AB81='طريقة الحساب'!$B$2,S81*$AA81/الافتراضات!$B$27,$AB81='طريقة الحساب'!$B$3,S81*$AA81/الافتراضات!$B$26,$AB81='طريقة الحساب'!$B$4,S81*$AA81/الافتراضات!$B$28),"")</f>
        <v>9.6873726494731319E-2</v>
      </c>
      <c r="AY81" s="91" cm="1">
        <f t="array" ref="AY81">IFERROR(_xlfn.IFS($AB81="عدد الموظفين/الوحدة",T81*$AA81,$AB81='طريقة الحساب'!$B$2,T81*$AA81/الافتراضات!$B$27,$AB81='طريقة الحساب'!$B$3,T81*$AA81/الافتراضات!$B$26,$AB81='طريقة الحساب'!$B$4,T81*$AA81/الافتراضات!$B$28),"")</f>
        <v>9.6873726494731319E-2</v>
      </c>
      <c r="AZ81" s="91" cm="1">
        <f t="array" ref="AZ81">IFERROR(_xlfn.IFS($AB81="عدد الموظفين/الوحدة",U81*$AA81,$AB81='طريقة الحساب'!$B$2,U81*$AA81/الافتراضات!$B$27,$AB81='طريقة الحساب'!$B$3,U81*$AA81/الافتراضات!$B$26,$AB81='طريقة الحساب'!$B$4,U81*$AA81/الافتراضات!$B$28),"")</f>
        <v>9.6873726494731319E-2</v>
      </c>
      <c r="BA81" s="91" cm="1">
        <f t="array" ref="BA81">IFERROR(_xlfn.IFS($AB81="عدد الموظفين/الوحدة",V81*$AA81,$AB81='طريقة الحساب'!$B$2,V81*$AA81/الافتراضات!$B$27,$AB81='طريقة الحساب'!$B$3,V81*$AA81/الافتراضات!$B$26,$AB81='طريقة الحساب'!$B$4,V81*$AA81/الافتراضات!$B$28),"")</f>
        <v>9.6873726494731319E-2</v>
      </c>
      <c r="BB81" s="91" cm="1">
        <f t="array" ref="BB81">IFERROR(_xlfn.IFS($AB81="عدد الموظفين/الوحدة",W81*$AA81,$AB81='طريقة الحساب'!$B$2,W81*$AA81/الافتراضات!$B$27,$AB81='طريقة الحساب'!$B$3,W81*$AA81/الافتراضات!$B$26,$AB81='طريقة الحساب'!$B$4,W81*$AA81/الافتراضات!$B$28),"")</f>
        <v>9.6873726494731319E-2</v>
      </c>
      <c r="BC81" s="91" cm="1">
        <f t="array" ref="BC81">IFERROR(_xlfn.IFS($AB81="عدد الموظفين/الوحدة",X81*$AA81,$AB81='طريقة الحساب'!$B$2,X81*$AA81/الافتراضات!$B$27,$AB81='طريقة الحساب'!$B$3,X81*$AA81/الافتراضات!$B$26,$AB81='طريقة الحساب'!$B$4,X81*$AA81/الافتراضات!$B$28),"")</f>
        <v>9.6873726494731319E-2</v>
      </c>
      <c r="BD81" s="91" cm="1">
        <f t="array" ref="BD81">IFERROR(_xlfn.IFS($AB81="عدد الموظفين/الوحدة",Y81*$AA81,$AB81='طريقة الحساب'!$B$2,Y81*$AA81/الافتراضات!$B$27,$AB81='طريقة الحساب'!$B$3,Y81*$AA81/الافتراضات!$B$26,$AB81='طريقة الحساب'!$B$4,Y81*$AA81/الافتراضات!$B$28),"")</f>
        <v>9.6873726494731319E-2</v>
      </c>
      <c r="BE81" s="91" cm="1">
        <f t="array" ref="BE81">IFERROR(_xlfn.IFS($AB81="عدد الموظفين/الوحدة",Z81*$AA81,$AB81='طريقة الحساب'!$B$2,Z81*$AA81/الافتراضات!$B$27,$AB81='طريقة الحساب'!$B$3,Z81*$AA81/الافتراضات!$B$26,$AB81='طريقة الحساب'!$B$4,Z81*$AA81/الافتراضات!$B$28),"")</f>
        <v>0</v>
      </c>
      <c r="BF81" s="92"/>
    </row>
    <row r="82" spans="2:58" x14ac:dyDescent="0.35">
      <c r="B82" s="124" t="s">
        <v>87</v>
      </c>
      <c r="C82" s="131" t="s">
        <v>88</v>
      </c>
      <c r="D82" s="131" t="s">
        <v>90</v>
      </c>
      <c r="E82" s="138" t="s">
        <v>92</v>
      </c>
      <c r="F82" s="125" t="s">
        <v>164</v>
      </c>
      <c r="G82" s="126" t="s">
        <v>84</v>
      </c>
      <c r="H82" s="127"/>
      <c r="I82" s="132">
        <v>48</v>
      </c>
      <c r="J82" s="133">
        <v>48</v>
      </c>
      <c r="K82" s="133">
        <v>48</v>
      </c>
      <c r="L82" s="133">
        <v>48</v>
      </c>
      <c r="M82" s="133">
        <v>48</v>
      </c>
      <c r="N82" s="133">
        <v>48</v>
      </c>
      <c r="O82" s="133">
        <v>48</v>
      </c>
      <c r="P82" s="139">
        <v>20</v>
      </c>
      <c r="Q82" s="134" t="s">
        <v>45</v>
      </c>
      <c r="R82" s="128"/>
      <c r="S82" s="135">
        <v>48</v>
      </c>
      <c r="T82" s="135">
        <v>48</v>
      </c>
      <c r="U82" s="135">
        <v>48</v>
      </c>
      <c r="V82" s="135">
        <v>48</v>
      </c>
      <c r="W82" s="135">
        <v>48</v>
      </c>
      <c r="X82" s="135">
        <v>48</v>
      </c>
      <c r="Y82" s="135">
        <v>48</v>
      </c>
      <c r="Z82" s="79"/>
      <c r="AA82" s="135">
        <v>20</v>
      </c>
      <c r="AB82" s="136" t="s">
        <v>45</v>
      </c>
      <c r="AC82" s="80"/>
      <c r="AD82" s="81"/>
      <c r="AE82" s="82"/>
      <c r="AF82" s="82"/>
      <c r="AG82" s="82"/>
      <c r="AH82" s="82"/>
      <c r="AI82" s="82"/>
      <c r="AJ82" s="82"/>
      <c r="AK82" s="82"/>
      <c r="AL82" s="82"/>
      <c r="AM82" s="83"/>
      <c r="AN82" s="83"/>
      <c r="AO82" s="84" t="str">
        <f t="shared" si="10"/>
        <v>لا</v>
      </c>
      <c r="AP82" s="85" t="str">
        <f t="shared" si="11"/>
        <v/>
      </c>
      <c r="AQ82" s="84" t="str">
        <f t="shared" si="12"/>
        <v>لا</v>
      </c>
      <c r="AR82" s="85" t="str">
        <f t="shared" si="13"/>
        <v/>
      </c>
      <c r="AS82" s="86" t="str">
        <f t="shared" si="14"/>
        <v>لا</v>
      </c>
      <c r="AT82" s="87" t="str">
        <f t="shared" si="15"/>
        <v/>
      </c>
      <c r="AU82" s="88"/>
      <c r="AV82" s="89"/>
      <c r="AW82" s="90"/>
      <c r="AX82" s="91" cm="1">
        <f t="array" ref="AX82">IFERROR(_xlfn.IFS($AB82="عدد الموظفين/الوحدة",S82*$AA82,$AB82='طريقة الحساب'!$B$2,S82*$AA82/الافتراضات!$B$27,$AB82='طريقة الحساب'!$B$3,S82*$AA82/الافتراضات!$B$26,$AB82='طريقة الحساب'!$B$4,S82*$AA82/الافتراضات!$B$28),"")</f>
        <v>1.6145621082455222E-2</v>
      </c>
      <c r="AY82" s="91" cm="1">
        <f t="array" ref="AY82">IFERROR(_xlfn.IFS($AB82="عدد الموظفين/الوحدة",T82*$AA82,$AB82='طريقة الحساب'!$B$2,T82*$AA82/الافتراضات!$B$27,$AB82='طريقة الحساب'!$B$3,T82*$AA82/الافتراضات!$B$26,$AB82='طريقة الحساب'!$B$4,T82*$AA82/الافتراضات!$B$28),"")</f>
        <v>1.6145621082455222E-2</v>
      </c>
      <c r="AZ82" s="91" cm="1">
        <f t="array" ref="AZ82">IFERROR(_xlfn.IFS($AB82="عدد الموظفين/الوحدة",U82*$AA82,$AB82='طريقة الحساب'!$B$2,U82*$AA82/الافتراضات!$B$27,$AB82='طريقة الحساب'!$B$3,U82*$AA82/الافتراضات!$B$26,$AB82='طريقة الحساب'!$B$4,U82*$AA82/الافتراضات!$B$28),"")</f>
        <v>1.6145621082455222E-2</v>
      </c>
      <c r="BA82" s="91" cm="1">
        <f t="array" ref="BA82">IFERROR(_xlfn.IFS($AB82="عدد الموظفين/الوحدة",V82*$AA82,$AB82='طريقة الحساب'!$B$2,V82*$AA82/الافتراضات!$B$27,$AB82='طريقة الحساب'!$B$3,V82*$AA82/الافتراضات!$B$26,$AB82='طريقة الحساب'!$B$4,V82*$AA82/الافتراضات!$B$28),"")</f>
        <v>1.6145621082455222E-2</v>
      </c>
      <c r="BB82" s="91" cm="1">
        <f t="array" ref="BB82">IFERROR(_xlfn.IFS($AB82="عدد الموظفين/الوحدة",W82*$AA82,$AB82='طريقة الحساب'!$B$2,W82*$AA82/الافتراضات!$B$27,$AB82='طريقة الحساب'!$B$3,W82*$AA82/الافتراضات!$B$26,$AB82='طريقة الحساب'!$B$4,W82*$AA82/الافتراضات!$B$28),"")</f>
        <v>1.6145621082455222E-2</v>
      </c>
      <c r="BC82" s="91" cm="1">
        <f t="array" ref="BC82">IFERROR(_xlfn.IFS($AB82="عدد الموظفين/الوحدة",X82*$AA82,$AB82='طريقة الحساب'!$B$2,X82*$AA82/الافتراضات!$B$27,$AB82='طريقة الحساب'!$B$3,X82*$AA82/الافتراضات!$B$26,$AB82='طريقة الحساب'!$B$4,X82*$AA82/الافتراضات!$B$28),"")</f>
        <v>1.6145621082455222E-2</v>
      </c>
      <c r="BD82" s="91" cm="1">
        <f t="array" ref="BD82">IFERROR(_xlfn.IFS($AB82="عدد الموظفين/الوحدة",Y82*$AA82,$AB82='طريقة الحساب'!$B$2,Y82*$AA82/الافتراضات!$B$27,$AB82='طريقة الحساب'!$B$3,Y82*$AA82/الافتراضات!$B$26,$AB82='طريقة الحساب'!$B$4,Y82*$AA82/الافتراضات!$B$28),"")</f>
        <v>1.6145621082455222E-2</v>
      </c>
      <c r="BE82" s="91" cm="1">
        <f t="array" ref="BE82">IFERROR(_xlfn.IFS($AB82="عدد الموظفين/الوحدة",Z82*$AA82,$AB82='طريقة الحساب'!$B$2,Z82*$AA82/الافتراضات!$B$27,$AB82='طريقة الحساب'!$B$3,Z82*$AA82/الافتراضات!$B$26,$AB82='طريقة الحساب'!$B$4,Z82*$AA82/الافتراضات!$B$28),"")</f>
        <v>0</v>
      </c>
      <c r="BF82" s="92"/>
    </row>
    <row r="83" spans="2:58" x14ac:dyDescent="0.35">
      <c r="B83" s="124" t="s">
        <v>87</v>
      </c>
      <c r="C83" s="131" t="s">
        <v>88</v>
      </c>
      <c r="D83" s="131" t="s">
        <v>90</v>
      </c>
      <c r="E83" s="138" t="s">
        <v>92</v>
      </c>
      <c r="F83" s="125" t="s">
        <v>165</v>
      </c>
      <c r="G83" s="126" t="s">
        <v>84</v>
      </c>
      <c r="H83" s="127"/>
      <c r="I83" s="132">
        <v>48</v>
      </c>
      <c r="J83" s="133">
        <v>48</v>
      </c>
      <c r="K83" s="133">
        <v>48</v>
      </c>
      <c r="L83" s="133">
        <v>48</v>
      </c>
      <c r="M83" s="133">
        <v>48</v>
      </c>
      <c r="N83" s="133">
        <v>48</v>
      </c>
      <c r="O83" s="133">
        <v>48</v>
      </c>
      <c r="P83" s="139">
        <v>20</v>
      </c>
      <c r="Q83" s="134" t="s">
        <v>45</v>
      </c>
      <c r="R83" s="128"/>
      <c r="S83" s="135">
        <v>48</v>
      </c>
      <c r="T83" s="135">
        <v>48</v>
      </c>
      <c r="U83" s="135">
        <v>48</v>
      </c>
      <c r="V83" s="135">
        <v>48</v>
      </c>
      <c r="W83" s="135">
        <v>48</v>
      </c>
      <c r="X83" s="135">
        <v>48</v>
      </c>
      <c r="Y83" s="135">
        <v>48</v>
      </c>
      <c r="Z83" s="79"/>
      <c r="AA83" s="135">
        <v>20</v>
      </c>
      <c r="AB83" s="136" t="s">
        <v>45</v>
      </c>
      <c r="AC83" s="80"/>
      <c r="AD83" s="81"/>
      <c r="AE83" s="82"/>
      <c r="AF83" s="82"/>
      <c r="AG83" s="82"/>
      <c r="AH83" s="82"/>
      <c r="AI83" s="82"/>
      <c r="AJ83" s="82"/>
      <c r="AK83" s="82"/>
      <c r="AL83" s="82"/>
      <c r="AM83" s="83"/>
      <c r="AN83" s="83"/>
      <c r="AO83" s="84" t="str">
        <f t="shared" ref="AO83:AO143" si="16">IF(OR(N83="", Y83=""), "", IF(N83&lt;&gt;Y83, "نعم", "لا"))</f>
        <v>لا</v>
      </c>
      <c r="AP83" s="85" t="str">
        <f t="shared" ref="AP83:AP143" si="17">IF(AO83="نعم", "أضف المبررات هنا", "")</f>
        <v/>
      </c>
      <c r="AQ83" s="84" t="str">
        <f t="shared" ref="AQ83:AQ143" si="18">IF(OR(P83="", AA83=""), "", IF(P83&lt;&gt;AA83, "نعم", "لا"))</f>
        <v>لا</v>
      </c>
      <c r="AR83" s="85" t="str">
        <f t="shared" ref="AR83:AR143" si="19">IF(AQ83="نعم", "[أضف المبررات هنا]", "")</f>
        <v/>
      </c>
      <c r="AS83" s="86" t="str">
        <f t="shared" ref="AS83:AS143" si="20">IF(OR(Q83="", AB83=""), "", IF(Q83&lt;&gt;AB83, "نعم", "لا"))</f>
        <v>لا</v>
      </c>
      <c r="AT83" s="87" t="str">
        <f t="shared" ref="AT83:AT143" si="21">IF(AS83="نعم", "[أضف المبررات هنا]", "")</f>
        <v/>
      </c>
      <c r="AU83" s="88"/>
      <c r="AV83" s="89"/>
      <c r="AW83" s="90"/>
      <c r="AX83" s="91" cm="1">
        <f t="array" ref="AX83">IFERROR(_xlfn.IFS($AB83="عدد الموظفين/الوحدة",S83*$AA83,$AB83='طريقة الحساب'!$B$2,S83*$AA83/الافتراضات!$B$27,$AB83='طريقة الحساب'!$B$3,S83*$AA83/الافتراضات!$B$26,$AB83='طريقة الحساب'!$B$4,S83*$AA83/الافتراضات!$B$28),"")</f>
        <v>1.6145621082455222E-2</v>
      </c>
      <c r="AY83" s="91" cm="1">
        <f t="array" ref="AY83">IFERROR(_xlfn.IFS($AB83="عدد الموظفين/الوحدة",T83*$AA83,$AB83='طريقة الحساب'!$B$2,T83*$AA83/الافتراضات!$B$27,$AB83='طريقة الحساب'!$B$3,T83*$AA83/الافتراضات!$B$26,$AB83='طريقة الحساب'!$B$4,T83*$AA83/الافتراضات!$B$28),"")</f>
        <v>1.6145621082455222E-2</v>
      </c>
      <c r="AZ83" s="91" cm="1">
        <f t="array" ref="AZ83">IFERROR(_xlfn.IFS($AB83="عدد الموظفين/الوحدة",U83*$AA83,$AB83='طريقة الحساب'!$B$2,U83*$AA83/الافتراضات!$B$27,$AB83='طريقة الحساب'!$B$3,U83*$AA83/الافتراضات!$B$26,$AB83='طريقة الحساب'!$B$4,U83*$AA83/الافتراضات!$B$28),"")</f>
        <v>1.6145621082455222E-2</v>
      </c>
      <c r="BA83" s="91" cm="1">
        <f t="array" ref="BA83">IFERROR(_xlfn.IFS($AB83="عدد الموظفين/الوحدة",V83*$AA83,$AB83='طريقة الحساب'!$B$2,V83*$AA83/الافتراضات!$B$27,$AB83='طريقة الحساب'!$B$3,V83*$AA83/الافتراضات!$B$26,$AB83='طريقة الحساب'!$B$4,V83*$AA83/الافتراضات!$B$28),"")</f>
        <v>1.6145621082455222E-2</v>
      </c>
      <c r="BB83" s="91" cm="1">
        <f t="array" ref="BB83">IFERROR(_xlfn.IFS($AB83="عدد الموظفين/الوحدة",W83*$AA83,$AB83='طريقة الحساب'!$B$2,W83*$AA83/الافتراضات!$B$27,$AB83='طريقة الحساب'!$B$3,W83*$AA83/الافتراضات!$B$26,$AB83='طريقة الحساب'!$B$4,W83*$AA83/الافتراضات!$B$28),"")</f>
        <v>1.6145621082455222E-2</v>
      </c>
      <c r="BC83" s="91" cm="1">
        <f t="array" ref="BC83">IFERROR(_xlfn.IFS($AB83="عدد الموظفين/الوحدة",X83*$AA83,$AB83='طريقة الحساب'!$B$2,X83*$AA83/الافتراضات!$B$27,$AB83='طريقة الحساب'!$B$3,X83*$AA83/الافتراضات!$B$26,$AB83='طريقة الحساب'!$B$4,X83*$AA83/الافتراضات!$B$28),"")</f>
        <v>1.6145621082455222E-2</v>
      </c>
      <c r="BD83" s="91" cm="1">
        <f t="array" ref="BD83">IFERROR(_xlfn.IFS($AB83="عدد الموظفين/الوحدة",Y83*$AA83,$AB83='طريقة الحساب'!$B$2,Y83*$AA83/الافتراضات!$B$27,$AB83='طريقة الحساب'!$B$3,Y83*$AA83/الافتراضات!$B$26,$AB83='طريقة الحساب'!$B$4,Y83*$AA83/الافتراضات!$B$28),"")</f>
        <v>1.6145621082455222E-2</v>
      </c>
      <c r="BE83" s="91" cm="1">
        <f t="array" ref="BE83">IFERROR(_xlfn.IFS($AB83="عدد الموظفين/الوحدة",Z83*$AA83,$AB83='طريقة الحساب'!$B$2,Z83*$AA83/الافتراضات!$B$27,$AB83='طريقة الحساب'!$B$3,Z83*$AA83/الافتراضات!$B$26,$AB83='طريقة الحساب'!$B$4,Z83*$AA83/الافتراضات!$B$28),"")</f>
        <v>0</v>
      </c>
      <c r="BF83" s="92"/>
    </row>
    <row r="84" spans="2:58" x14ac:dyDescent="0.35">
      <c r="B84" s="124" t="s">
        <v>87</v>
      </c>
      <c r="C84" s="131" t="s">
        <v>88</v>
      </c>
      <c r="D84" s="131" t="s">
        <v>90</v>
      </c>
      <c r="E84" s="138" t="s">
        <v>92</v>
      </c>
      <c r="F84" s="125" t="s">
        <v>166</v>
      </c>
      <c r="G84" s="126" t="s">
        <v>84</v>
      </c>
      <c r="H84" s="127"/>
      <c r="I84" s="132">
        <v>48</v>
      </c>
      <c r="J84" s="133">
        <v>48</v>
      </c>
      <c r="K84" s="133">
        <v>48</v>
      </c>
      <c r="L84" s="133">
        <v>48</v>
      </c>
      <c r="M84" s="133">
        <v>48</v>
      </c>
      <c r="N84" s="133">
        <v>48</v>
      </c>
      <c r="O84" s="133">
        <v>48</v>
      </c>
      <c r="P84" s="139">
        <v>20</v>
      </c>
      <c r="Q84" s="134" t="s">
        <v>45</v>
      </c>
      <c r="R84" s="128"/>
      <c r="S84" s="135">
        <v>48</v>
      </c>
      <c r="T84" s="135">
        <v>48</v>
      </c>
      <c r="U84" s="135">
        <v>48</v>
      </c>
      <c r="V84" s="135">
        <v>48</v>
      </c>
      <c r="W84" s="135">
        <v>48</v>
      </c>
      <c r="X84" s="135">
        <v>48</v>
      </c>
      <c r="Y84" s="135">
        <v>48</v>
      </c>
      <c r="Z84" s="79"/>
      <c r="AA84" s="135">
        <v>20</v>
      </c>
      <c r="AB84" s="136" t="s">
        <v>45</v>
      </c>
      <c r="AC84" s="80"/>
      <c r="AD84" s="81"/>
      <c r="AE84" s="82"/>
      <c r="AF84" s="82"/>
      <c r="AG84" s="82"/>
      <c r="AH84" s="82"/>
      <c r="AI84" s="82"/>
      <c r="AJ84" s="82"/>
      <c r="AK84" s="82"/>
      <c r="AL84" s="82"/>
      <c r="AM84" s="83"/>
      <c r="AN84" s="83"/>
      <c r="AO84" s="84" t="str">
        <f t="shared" si="16"/>
        <v>لا</v>
      </c>
      <c r="AP84" s="85" t="str">
        <f t="shared" si="17"/>
        <v/>
      </c>
      <c r="AQ84" s="84" t="str">
        <f t="shared" si="18"/>
        <v>لا</v>
      </c>
      <c r="AR84" s="85" t="str">
        <f t="shared" si="19"/>
        <v/>
      </c>
      <c r="AS84" s="86" t="str">
        <f t="shared" si="20"/>
        <v>لا</v>
      </c>
      <c r="AT84" s="87" t="str">
        <f t="shared" si="21"/>
        <v/>
      </c>
      <c r="AU84" s="88"/>
      <c r="AV84" s="89"/>
      <c r="AW84" s="90"/>
      <c r="AX84" s="91" cm="1">
        <f t="array" ref="AX84">IFERROR(_xlfn.IFS($AB84="عدد الموظفين/الوحدة",S84*$AA84,$AB84='طريقة الحساب'!$B$2,S84*$AA84/الافتراضات!$B$27,$AB84='طريقة الحساب'!$B$3,S84*$AA84/الافتراضات!$B$26,$AB84='طريقة الحساب'!$B$4,S84*$AA84/الافتراضات!$B$28),"")</f>
        <v>1.6145621082455222E-2</v>
      </c>
      <c r="AY84" s="91" cm="1">
        <f t="array" ref="AY84">IFERROR(_xlfn.IFS($AB84="عدد الموظفين/الوحدة",T84*$AA84,$AB84='طريقة الحساب'!$B$2,T84*$AA84/الافتراضات!$B$27,$AB84='طريقة الحساب'!$B$3,T84*$AA84/الافتراضات!$B$26,$AB84='طريقة الحساب'!$B$4,T84*$AA84/الافتراضات!$B$28),"")</f>
        <v>1.6145621082455222E-2</v>
      </c>
      <c r="AZ84" s="91" cm="1">
        <f t="array" ref="AZ84">IFERROR(_xlfn.IFS($AB84="عدد الموظفين/الوحدة",U84*$AA84,$AB84='طريقة الحساب'!$B$2,U84*$AA84/الافتراضات!$B$27,$AB84='طريقة الحساب'!$B$3,U84*$AA84/الافتراضات!$B$26,$AB84='طريقة الحساب'!$B$4,U84*$AA84/الافتراضات!$B$28),"")</f>
        <v>1.6145621082455222E-2</v>
      </c>
      <c r="BA84" s="91" cm="1">
        <f t="array" ref="BA84">IFERROR(_xlfn.IFS($AB84="عدد الموظفين/الوحدة",V84*$AA84,$AB84='طريقة الحساب'!$B$2,V84*$AA84/الافتراضات!$B$27,$AB84='طريقة الحساب'!$B$3,V84*$AA84/الافتراضات!$B$26,$AB84='طريقة الحساب'!$B$4,V84*$AA84/الافتراضات!$B$28),"")</f>
        <v>1.6145621082455222E-2</v>
      </c>
      <c r="BB84" s="91" cm="1">
        <f t="array" ref="BB84">IFERROR(_xlfn.IFS($AB84="عدد الموظفين/الوحدة",W84*$AA84,$AB84='طريقة الحساب'!$B$2,W84*$AA84/الافتراضات!$B$27,$AB84='طريقة الحساب'!$B$3,W84*$AA84/الافتراضات!$B$26,$AB84='طريقة الحساب'!$B$4,W84*$AA84/الافتراضات!$B$28),"")</f>
        <v>1.6145621082455222E-2</v>
      </c>
      <c r="BC84" s="91" cm="1">
        <f t="array" ref="BC84">IFERROR(_xlfn.IFS($AB84="عدد الموظفين/الوحدة",X84*$AA84,$AB84='طريقة الحساب'!$B$2,X84*$AA84/الافتراضات!$B$27,$AB84='طريقة الحساب'!$B$3,X84*$AA84/الافتراضات!$B$26,$AB84='طريقة الحساب'!$B$4,X84*$AA84/الافتراضات!$B$28),"")</f>
        <v>1.6145621082455222E-2</v>
      </c>
      <c r="BD84" s="91" cm="1">
        <f t="array" ref="BD84">IFERROR(_xlfn.IFS($AB84="عدد الموظفين/الوحدة",Y84*$AA84,$AB84='طريقة الحساب'!$B$2,Y84*$AA84/الافتراضات!$B$27,$AB84='طريقة الحساب'!$B$3,Y84*$AA84/الافتراضات!$B$26,$AB84='طريقة الحساب'!$B$4,Y84*$AA84/الافتراضات!$B$28),"")</f>
        <v>1.6145621082455222E-2</v>
      </c>
      <c r="BE84" s="91" cm="1">
        <f t="array" ref="BE84">IFERROR(_xlfn.IFS($AB84="عدد الموظفين/الوحدة",Z84*$AA84,$AB84='طريقة الحساب'!$B$2,Z84*$AA84/الافتراضات!$B$27,$AB84='طريقة الحساب'!$B$3,Z84*$AA84/الافتراضات!$B$26,$AB84='طريقة الحساب'!$B$4,Z84*$AA84/الافتراضات!$B$28),"")</f>
        <v>0</v>
      </c>
      <c r="BF84" s="92"/>
    </row>
    <row r="85" spans="2:58" x14ac:dyDescent="0.35">
      <c r="B85" s="124" t="s">
        <v>87</v>
      </c>
      <c r="C85" s="131" t="s">
        <v>88</v>
      </c>
      <c r="D85" s="131" t="s">
        <v>90</v>
      </c>
      <c r="E85" s="138" t="s">
        <v>92</v>
      </c>
      <c r="F85" s="125" t="s">
        <v>167</v>
      </c>
      <c r="G85" s="126" t="s">
        <v>84</v>
      </c>
      <c r="H85" s="127"/>
      <c r="I85" s="132">
        <v>96</v>
      </c>
      <c r="J85" s="133">
        <v>96</v>
      </c>
      <c r="K85" s="133">
        <v>96</v>
      </c>
      <c r="L85" s="133">
        <v>96</v>
      </c>
      <c r="M85" s="133">
        <v>96</v>
      </c>
      <c r="N85" s="133">
        <v>96</v>
      </c>
      <c r="O85" s="133">
        <v>96</v>
      </c>
      <c r="P85" s="139">
        <v>15</v>
      </c>
      <c r="Q85" s="134" t="s">
        <v>45</v>
      </c>
      <c r="R85" s="128"/>
      <c r="S85" s="135">
        <v>96</v>
      </c>
      <c r="T85" s="135">
        <v>96</v>
      </c>
      <c r="U85" s="135">
        <v>96</v>
      </c>
      <c r="V85" s="135">
        <v>96</v>
      </c>
      <c r="W85" s="135">
        <v>96</v>
      </c>
      <c r="X85" s="135">
        <v>96</v>
      </c>
      <c r="Y85" s="135">
        <v>96</v>
      </c>
      <c r="Z85" s="79"/>
      <c r="AA85" s="135">
        <v>15</v>
      </c>
      <c r="AB85" s="136" t="s">
        <v>45</v>
      </c>
      <c r="AC85" s="80"/>
      <c r="AD85" s="81"/>
      <c r="AE85" s="82"/>
      <c r="AF85" s="82"/>
      <c r="AG85" s="82"/>
      <c r="AH85" s="82"/>
      <c r="AI85" s="82"/>
      <c r="AJ85" s="82"/>
      <c r="AK85" s="82"/>
      <c r="AL85" s="82"/>
      <c r="AM85" s="83"/>
      <c r="AN85" s="83"/>
      <c r="AO85" s="84" t="str">
        <f t="shared" si="16"/>
        <v>لا</v>
      </c>
      <c r="AP85" s="85" t="str">
        <f t="shared" si="17"/>
        <v/>
      </c>
      <c r="AQ85" s="84" t="str">
        <f t="shared" si="18"/>
        <v>لا</v>
      </c>
      <c r="AR85" s="85" t="str">
        <f t="shared" si="19"/>
        <v/>
      </c>
      <c r="AS85" s="86" t="str">
        <f t="shared" si="20"/>
        <v>لا</v>
      </c>
      <c r="AT85" s="87" t="str">
        <f t="shared" si="21"/>
        <v/>
      </c>
      <c r="AU85" s="88"/>
      <c r="AV85" s="89"/>
      <c r="AW85" s="90"/>
      <c r="AX85" s="91" cm="1">
        <f t="array" ref="AX85">IFERROR(_xlfn.IFS($AB85="عدد الموظفين/الوحدة",S85*$AA85,$AB85='طريقة الحساب'!$B$2,S85*$AA85/الافتراضات!$B$27,$AB85='طريقة الحساب'!$B$3,S85*$AA85/الافتراضات!$B$26,$AB85='طريقة الحساب'!$B$4,S85*$AA85/الافتراضات!$B$28),"")</f>
        <v>2.421843162368283E-2</v>
      </c>
      <c r="AY85" s="91" cm="1">
        <f t="array" ref="AY85">IFERROR(_xlfn.IFS($AB85="عدد الموظفين/الوحدة",T85*$AA85,$AB85='طريقة الحساب'!$B$2,T85*$AA85/الافتراضات!$B$27,$AB85='طريقة الحساب'!$B$3,T85*$AA85/الافتراضات!$B$26,$AB85='طريقة الحساب'!$B$4,T85*$AA85/الافتراضات!$B$28),"")</f>
        <v>2.421843162368283E-2</v>
      </c>
      <c r="AZ85" s="91" cm="1">
        <f t="array" ref="AZ85">IFERROR(_xlfn.IFS($AB85="عدد الموظفين/الوحدة",U85*$AA85,$AB85='طريقة الحساب'!$B$2,U85*$AA85/الافتراضات!$B$27,$AB85='طريقة الحساب'!$B$3,U85*$AA85/الافتراضات!$B$26,$AB85='طريقة الحساب'!$B$4,U85*$AA85/الافتراضات!$B$28),"")</f>
        <v>2.421843162368283E-2</v>
      </c>
      <c r="BA85" s="91" cm="1">
        <f t="array" ref="BA85">IFERROR(_xlfn.IFS($AB85="عدد الموظفين/الوحدة",V85*$AA85,$AB85='طريقة الحساب'!$B$2,V85*$AA85/الافتراضات!$B$27,$AB85='طريقة الحساب'!$B$3,V85*$AA85/الافتراضات!$B$26,$AB85='طريقة الحساب'!$B$4,V85*$AA85/الافتراضات!$B$28),"")</f>
        <v>2.421843162368283E-2</v>
      </c>
      <c r="BB85" s="91" cm="1">
        <f t="array" ref="BB85">IFERROR(_xlfn.IFS($AB85="عدد الموظفين/الوحدة",W85*$AA85,$AB85='طريقة الحساب'!$B$2,W85*$AA85/الافتراضات!$B$27,$AB85='طريقة الحساب'!$B$3,W85*$AA85/الافتراضات!$B$26,$AB85='طريقة الحساب'!$B$4,W85*$AA85/الافتراضات!$B$28),"")</f>
        <v>2.421843162368283E-2</v>
      </c>
      <c r="BC85" s="91" cm="1">
        <f t="array" ref="BC85">IFERROR(_xlfn.IFS($AB85="عدد الموظفين/الوحدة",X85*$AA85,$AB85='طريقة الحساب'!$B$2,X85*$AA85/الافتراضات!$B$27,$AB85='طريقة الحساب'!$B$3,X85*$AA85/الافتراضات!$B$26,$AB85='طريقة الحساب'!$B$4,X85*$AA85/الافتراضات!$B$28),"")</f>
        <v>2.421843162368283E-2</v>
      </c>
      <c r="BD85" s="91" cm="1">
        <f t="array" ref="BD85">IFERROR(_xlfn.IFS($AB85="عدد الموظفين/الوحدة",Y85*$AA85,$AB85='طريقة الحساب'!$B$2,Y85*$AA85/الافتراضات!$B$27,$AB85='طريقة الحساب'!$B$3,Y85*$AA85/الافتراضات!$B$26,$AB85='طريقة الحساب'!$B$4,Y85*$AA85/الافتراضات!$B$28),"")</f>
        <v>2.421843162368283E-2</v>
      </c>
      <c r="BE85" s="91" cm="1">
        <f t="array" ref="BE85">IFERROR(_xlfn.IFS($AB85="عدد الموظفين/الوحدة",Z85*$AA85,$AB85='طريقة الحساب'!$B$2,Z85*$AA85/الافتراضات!$B$27,$AB85='طريقة الحساب'!$B$3,Z85*$AA85/الافتراضات!$B$26,$AB85='طريقة الحساب'!$B$4,Z85*$AA85/الافتراضات!$B$28),"")</f>
        <v>0</v>
      </c>
      <c r="BF85" s="92"/>
    </row>
    <row r="86" spans="2:58" x14ac:dyDescent="0.35">
      <c r="B86" s="124" t="s">
        <v>87</v>
      </c>
      <c r="C86" s="131" t="s">
        <v>88</v>
      </c>
      <c r="D86" s="131" t="s">
        <v>90</v>
      </c>
      <c r="E86" s="138" t="s">
        <v>92</v>
      </c>
      <c r="F86" s="125" t="s">
        <v>168</v>
      </c>
      <c r="G86" s="126" t="s">
        <v>84</v>
      </c>
      <c r="H86" s="127"/>
      <c r="I86" s="132">
        <v>48</v>
      </c>
      <c r="J86" s="133">
        <v>48</v>
      </c>
      <c r="K86" s="133">
        <v>48</v>
      </c>
      <c r="L86" s="133">
        <v>48</v>
      </c>
      <c r="M86" s="133">
        <v>48</v>
      </c>
      <c r="N86" s="133">
        <v>48</v>
      </c>
      <c r="O86" s="133">
        <v>48</v>
      </c>
      <c r="P86" s="139">
        <v>10</v>
      </c>
      <c r="Q86" s="134" t="s">
        <v>45</v>
      </c>
      <c r="R86" s="128"/>
      <c r="S86" s="135">
        <v>48</v>
      </c>
      <c r="T86" s="135">
        <v>48</v>
      </c>
      <c r="U86" s="135">
        <v>48</v>
      </c>
      <c r="V86" s="135">
        <v>48</v>
      </c>
      <c r="W86" s="135">
        <v>48</v>
      </c>
      <c r="X86" s="135">
        <v>48</v>
      </c>
      <c r="Y86" s="135">
        <v>48</v>
      </c>
      <c r="Z86" s="79"/>
      <c r="AA86" s="135">
        <v>10</v>
      </c>
      <c r="AB86" s="136" t="s">
        <v>45</v>
      </c>
      <c r="AC86" s="80"/>
      <c r="AD86" s="81"/>
      <c r="AE86" s="82"/>
      <c r="AF86" s="82"/>
      <c r="AG86" s="82"/>
      <c r="AH86" s="82"/>
      <c r="AI86" s="82"/>
      <c r="AJ86" s="82"/>
      <c r="AK86" s="82"/>
      <c r="AL86" s="82"/>
      <c r="AM86" s="83"/>
      <c r="AN86" s="83"/>
      <c r="AO86" s="84" t="str">
        <f t="shared" si="16"/>
        <v>لا</v>
      </c>
      <c r="AP86" s="85" t="str">
        <f t="shared" si="17"/>
        <v/>
      </c>
      <c r="AQ86" s="84" t="str">
        <f t="shared" si="18"/>
        <v>لا</v>
      </c>
      <c r="AR86" s="85" t="str">
        <f t="shared" si="19"/>
        <v/>
      </c>
      <c r="AS86" s="86" t="str">
        <f t="shared" si="20"/>
        <v>لا</v>
      </c>
      <c r="AT86" s="87" t="str">
        <f t="shared" si="21"/>
        <v/>
      </c>
      <c r="AU86" s="88"/>
      <c r="AV86" s="89"/>
      <c r="AW86" s="90"/>
      <c r="AX86" s="91" cm="1">
        <f t="array" ref="AX86">IFERROR(_xlfn.IFS($AB86="عدد الموظفين/الوحدة",S86*$AA86,$AB86='طريقة الحساب'!$B$2,S86*$AA86/الافتراضات!$B$27,$AB86='طريقة الحساب'!$B$3,S86*$AA86/الافتراضات!$B$26,$AB86='طريقة الحساب'!$B$4,S86*$AA86/الافتراضات!$B$28),"")</f>
        <v>8.072810541227611E-3</v>
      </c>
      <c r="AY86" s="91" cm="1">
        <f t="array" ref="AY86">IFERROR(_xlfn.IFS($AB86="عدد الموظفين/الوحدة",T86*$AA86,$AB86='طريقة الحساب'!$B$2,T86*$AA86/الافتراضات!$B$27,$AB86='طريقة الحساب'!$B$3,T86*$AA86/الافتراضات!$B$26,$AB86='طريقة الحساب'!$B$4,T86*$AA86/الافتراضات!$B$28),"")</f>
        <v>8.072810541227611E-3</v>
      </c>
      <c r="AZ86" s="91" cm="1">
        <f t="array" ref="AZ86">IFERROR(_xlfn.IFS($AB86="عدد الموظفين/الوحدة",U86*$AA86,$AB86='طريقة الحساب'!$B$2,U86*$AA86/الافتراضات!$B$27,$AB86='طريقة الحساب'!$B$3,U86*$AA86/الافتراضات!$B$26,$AB86='طريقة الحساب'!$B$4,U86*$AA86/الافتراضات!$B$28),"")</f>
        <v>8.072810541227611E-3</v>
      </c>
      <c r="BA86" s="91" cm="1">
        <f t="array" ref="BA86">IFERROR(_xlfn.IFS($AB86="عدد الموظفين/الوحدة",V86*$AA86,$AB86='طريقة الحساب'!$B$2,V86*$AA86/الافتراضات!$B$27,$AB86='طريقة الحساب'!$B$3,V86*$AA86/الافتراضات!$B$26,$AB86='طريقة الحساب'!$B$4,V86*$AA86/الافتراضات!$B$28),"")</f>
        <v>8.072810541227611E-3</v>
      </c>
      <c r="BB86" s="91" cm="1">
        <f t="array" ref="BB86">IFERROR(_xlfn.IFS($AB86="عدد الموظفين/الوحدة",W86*$AA86,$AB86='طريقة الحساب'!$B$2,W86*$AA86/الافتراضات!$B$27,$AB86='طريقة الحساب'!$B$3,W86*$AA86/الافتراضات!$B$26,$AB86='طريقة الحساب'!$B$4,W86*$AA86/الافتراضات!$B$28),"")</f>
        <v>8.072810541227611E-3</v>
      </c>
      <c r="BC86" s="91" cm="1">
        <f t="array" ref="BC86">IFERROR(_xlfn.IFS($AB86="عدد الموظفين/الوحدة",X86*$AA86,$AB86='طريقة الحساب'!$B$2,X86*$AA86/الافتراضات!$B$27,$AB86='طريقة الحساب'!$B$3,X86*$AA86/الافتراضات!$B$26,$AB86='طريقة الحساب'!$B$4,X86*$AA86/الافتراضات!$B$28),"")</f>
        <v>8.072810541227611E-3</v>
      </c>
      <c r="BD86" s="91" cm="1">
        <f t="array" ref="BD86">IFERROR(_xlfn.IFS($AB86="عدد الموظفين/الوحدة",Y86*$AA86,$AB86='طريقة الحساب'!$B$2,Y86*$AA86/الافتراضات!$B$27,$AB86='طريقة الحساب'!$B$3,Y86*$AA86/الافتراضات!$B$26,$AB86='طريقة الحساب'!$B$4,Y86*$AA86/الافتراضات!$B$28),"")</f>
        <v>8.072810541227611E-3</v>
      </c>
      <c r="BE86" s="91" cm="1">
        <f t="array" ref="BE86">IFERROR(_xlfn.IFS($AB86="عدد الموظفين/الوحدة",Z86*$AA86,$AB86='طريقة الحساب'!$B$2,Z86*$AA86/الافتراضات!$B$27,$AB86='طريقة الحساب'!$B$3,Z86*$AA86/الافتراضات!$B$26,$AB86='طريقة الحساب'!$B$4,Z86*$AA86/الافتراضات!$B$28),"")</f>
        <v>0</v>
      </c>
      <c r="BF86" s="92"/>
    </row>
    <row r="87" spans="2:58" x14ac:dyDescent="0.35">
      <c r="B87" s="124" t="s">
        <v>87</v>
      </c>
      <c r="C87" s="131" t="s">
        <v>88</v>
      </c>
      <c r="D87" s="131" t="s">
        <v>90</v>
      </c>
      <c r="E87" s="138" t="s">
        <v>92</v>
      </c>
      <c r="F87" s="125" t="s">
        <v>169</v>
      </c>
      <c r="G87" s="126" t="s">
        <v>84</v>
      </c>
      <c r="H87" s="127"/>
      <c r="I87" s="132">
        <v>192</v>
      </c>
      <c r="J87" s="133">
        <v>192</v>
      </c>
      <c r="K87" s="133">
        <v>192</v>
      </c>
      <c r="L87" s="133">
        <v>192</v>
      </c>
      <c r="M87" s="133">
        <v>192</v>
      </c>
      <c r="N87" s="133">
        <v>192</v>
      </c>
      <c r="O87" s="133">
        <v>192</v>
      </c>
      <c r="P87" s="139">
        <v>10</v>
      </c>
      <c r="Q87" s="134" t="s">
        <v>45</v>
      </c>
      <c r="R87" s="128"/>
      <c r="S87" s="135">
        <v>192</v>
      </c>
      <c r="T87" s="135">
        <v>192</v>
      </c>
      <c r="U87" s="135">
        <v>192</v>
      </c>
      <c r="V87" s="135">
        <v>192</v>
      </c>
      <c r="W87" s="135">
        <v>192</v>
      </c>
      <c r="X87" s="135">
        <v>192</v>
      </c>
      <c r="Y87" s="135">
        <v>192</v>
      </c>
      <c r="Z87" s="79"/>
      <c r="AA87" s="135">
        <v>10</v>
      </c>
      <c r="AB87" s="136" t="s">
        <v>45</v>
      </c>
      <c r="AC87" s="80"/>
      <c r="AD87" s="81"/>
      <c r="AE87" s="82"/>
      <c r="AF87" s="82"/>
      <c r="AG87" s="82"/>
      <c r="AH87" s="82"/>
      <c r="AI87" s="82"/>
      <c r="AJ87" s="82"/>
      <c r="AK87" s="82"/>
      <c r="AL87" s="82"/>
      <c r="AM87" s="83"/>
      <c r="AN87" s="83"/>
      <c r="AO87" s="84" t="str">
        <f t="shared" si="16"/>
        <v>لا</v>
      </c>
      <c r="AP87" s="85" t="str">
        <f t="shared" si="17"/>
        <v/>
      </c>
      <c r="AQ87" s="84" t="str">
        <f t="shared" si="18"/>
        <v>لا</v>
      </c>
      <c r="AR87" s="85" t="str">
        <f t="shared" si="19"/>
        <v/>
      </c>
      <c r="AS87" s="86" t="str">
        <f t="shared" si="20"/>
        <v>لا</v>
      </c>
      <c r="AT87" s="87" t="str">
        <f t="shared" si="21"/>
        <v/>
      </c>
      <c r="AU87" s="88"/>
      <c r="AV87" s="89"/>
      <c r="AW87" s="90"/>
      <c r="AX87" s="91" cm="1">
        <f t="array" ref="AX87">IFERROR(_xlfn.IFS($AB87="عدد الموظفين/الوحدة",S87*$AA87,$AB87='طريقة الحساب'!$B$2,S87*$AA87/الافتراضات!$B$27,$AB87='طريقة الحساب'!$B$3,S87*$AA87/الافتراضات!$B$26,$AB87='طريقة الحساب'!$B$4,S87*$AA87/الافتراضات!$B$28),"")</f>
        <v>3.2291242164910444E-2</v>
      </c>
      <c r="AY87" s="91" cm="1">
        <f t="array" ref="AY87">IFERROR(_xlfn.IFS($AB87="عدد الموظفين/الوحدة",T87*$AA87,$AB87='طريقة الحساب'!$B$2,T87*$AA87/الافتراضات!$B$27,$AB87='طريقة الحساب'!$B$3,T87*$AA87/الافتراضات!$B$26,$AB87='طريقة الحساب'!$B$4,T87*$AA87/الافتراضات!$B$28),"")</f>
        <v>3.2291242164910444E-2</v>
      </c>
      <c r="AZ87" s="91" cm="1">
        <f t="array" ref="AZ87">IFERROR(_xlfn.IFS($AB87="عدد الموظفين/الوحدة",U87*$AA87,$AB87='طريقة الحساب'!$B$2,U87*$AA87/الافتراضات!$B$27,$AB87='طريقة الحساب'!$B$3,U87*$AA87/الافتراضات!$B$26,$AB87='طريقة الحساب'!$B$4,U87*$AA87/الافتراضات!$B$28),"")</f>
        <v>3.2291242164910444E-2</v>
      </c>
      <c r="BA87" s="91" cm="1">
        <f t="array" ref="BA87">IFERROR(_xlfn.IFS($AB87="عدد الموظفين/الوحدة",V87*$AA87,$AB87='طريقة الحساب'!$B$2,V87*$AA87/الافتراضات!$B$27,$AB87='طريقة الحساب'!$B$3,V87*$AA87/الافتراضات!$B$26,$AB87='طريقة الحساب'!$B$4,V87*$AA87/الافتراضات!$B$28),"")</f>
        <v>3.2291242164910444E-2</v>
      </c>
      <c r="BB87" s="91" cm="1">
        <f t="array" ref="BB87">IFERROR(_xlfn.IFS($AB87="عدد الموظفين/الوحدة",W87*$AA87,$AB87='طريقة الحساب'!$B$2,W87*$AA87/الافتراضات!$B$27,$AB87='طريقة الحساب'!$B$3,W87*$AA87/الافتراضات!$B$26,$AB87='طريقة الحساب'!$B$4,W87*$AA87/الافتراضات!$B$28),"")</f>
        <v>3.2291242164910444E-2</v>
      </c>
      <c r="BC87" s="91" cm="1">
        <f t="array" ref="BC87">IFERROR(_xlfn.IFS($AB87="عدد الموظفين/الوحدة",X87*$AA87,$AB87='طريقة الحساب'!$B$2,X87*$AA87/الافتراضات!$B$27,$AB87='طريقة الحساب'!$B$3,X87*$AA87/الافتراضات!$B$26,$AB87='طريقة الحساب'!$B$4,X87*$AA87/الافتراضات!$B$28),"")</f>
        <v>3.2291242164910444E-2</v>
      </c>
      <c r="BD87" s="91" cm="1">
        <f t="array" ref="BD87">IFERROR(_xlfn.IFS($AB87="عدد الموظفين/الوحدة",Y87*$AA87,$AB87='طريقة الحساب'!$B$2,Y87*$AA87/الافتراضات!$B$27,$AB87='طريقة الحساب'!$B$3,Y87*$AA87/الافتراضات!$B$26,$AB87='طريقة الحساب'!$B$4,Y87*$AA87/الافتراضات!$B$28),"")</f>
        <v>3.2291242164910444E-2</v>
      </c>
      <c r="BE87" s="91" cm="1">
        <f t="array" ref="BE87">IFERROR(_xlfn.IFS($AB87="عدد الموظفين/الوحدة",Z87*$AA87,$AB87='طريقة الحساب'!$B$2,Z87*$AA87/الافتراضات!$B$27,$AB87='طريقة الحساب'!$B$3,Z87*$AA87/الافتراضات!$B$26,$AB87='طريقة الحساب'!$B$4,Z87*$AA87/الافتراضات!$B$28),"")</f>
        <v>0</v>
      </c>
      <c r="BF87" s="92"/>
    </row>
    <row r="88" spans="2:58" x14ac:dyDescent="0.35">
      <c r="B88" s="124" t="s">
        <v>87</v>
      </c>
      <c r="C88" s="131" t="s">
        <v>88</v>
      </c>
      <c r="D88" s="131" t="s">
        <v>90</v>
      </c>
      <c r="E88" s="138" t="s">
        <v>92</v>
      </c>
      <c r="F88" s="125" t="s">
        <v>170</v>
      </c>
      <c r="G88" s="126" t="s">
        <v>84</v>
      </c>
      <c r="H88" s="127"/>
      <c r="I88" s="132">
        <v>3600</v>
      </c>
      <c r="J88" s="133">
        <v>3600</v>
      </c>
      <c r="K88" s="133">
        <v>3600</v>
      </c>
      <c r="L88" s="133">
        <v>3600</v>
      </c>
      <c r="M88" s="133">
        <v>3600</v>
      </c>
      <c r="N88" s="133">
        <v>3600</v>
      </c>
      <c r="O88" s="133">
        <v>3600</v>
      </c>
      <c r="P88" s="139">
        <v>5</v>
      </c>
      <c r="Q88" s="134" t="s">
        <v>45</v>
      </c>
      <c r="R88" s="128"/>
      <c r="S88" s="135">
        <v>3600</v>
      </c>
      <c r="T88" s="135">
        <v>3600</v>
      </c>
      <c r="U88" s="135">
        <v>3600</v>
      </c>
      <c r="V88" s="135">
        <v>3600</v>
      </c>
      <c r="W88" s="135">
        <v>3600</v>
      </c>
      <c r="X88" s="135">
        <v>3600</v>
      </c>
      <c r="Y88" s="135">
        <v>3600</v>
      </c>
      <c r="Z88" s="79"/>
      <c r="AA88" s="135">
        <v>5</v>
      </c>
      <c r="AB88" s="136" t="s">
        <v>45</v>
      </c>
      <c r="AC88" s="80"/>
      <c r="AD88" s="81"/>
      <c r="AE88" s="82"/>
      <c r="AF88" s="82"/>
      <c r="AG88" s="82"/>
      <c r="AH88" s="82"/>
      <c r="AI88" s="82"/>
      <c r="AJ88" s="82"/>
      <c r="AK88" s="82"/>
      <c r="AL88" s="82"/>
      <c r="AM88" s="83"/>
      <c r="AN88" s="83"/>
      <c r="AO88" s="84" t="str">
        <f t="shared" si="16"/>
        <v>لا</v>
      </c>
      <c r="AP88" s="85" t="str">
        <f t="shared" si="17"/>
        <v/>
      </c>
      <c r="AQ88" s="84" t="str">
        <f t="shared" si="18"/>
        <v>لا</v>
      </c>
      <c r="AR88" s="85" t="str">
        <f t="shared" si="19"/>
        <v/>
      </c>
      <c r="AS88" s="86" t="str">
        <f t="shared" si="20"/>
        <v>لا</v>
      </c>
      <c r="AT88" s="87" t="str">
        <f t="shared" si="21"/>
        <v/>
      </c>
      <c r="AU88" s="88"/>
      <c r="AV88" s="89"/>
      <c r="AW88" s="90"/>
      <c r="AX88" s="91" cm="1">
        <f t="array" ref="AX88">IFERROR(_xlfn.IFS($AB88="عدد الموظفين/الوحدة",S88*$AA88,$AB88='طريقة الحساب'!$B$2,S88*$AA88/الافتراضات!$B$27,$AB88='طريقة الحساب'!$B$3,S88*$AA88/الافتراضات!$B$26,$AB88='طريقة الحساب'!$B$4,S88*$AA88/الافتراضات!$B$28),"")</f>
        <v>0.3027303952960354</v>
      </c>
      <c r="AY88" s="91" cm="1">
        <f t="array" ref="AY88">IFERROR(_xlfn.IFS($AB88="عدد الموظفين/الوحدة",T88*$AA88,$AB88='طريقة الحساب'!$B$2,T88*$AA88/الافتراضات!$B$27,$AB88='طريقة الحساب'!$B$3,T88*$AA88/الافتراضات!$B$26,$AB88='طريقة الحساب'!$B$4,T88*$AA88/الافتراضات!$B$28),"")</f>
        <v>0.3027303952960354</v>
      </c>
      <c r="AZ88" s="91" cm="1">
        <f t="array" ref="AZ88">IFERROR(_xlfn.IFS($AB88="عدد الموظفين/الوحدة",U88*$AA88,$AB88='طريقة الحساب'!$B$2,U88*$AA88/الافتراضات!$B$27,$AB88='طريقة الحساب'!$B$3,U88*$AA88/الافتراضات!$B$26,$AB88='طريقة الحساب'!$B$4,U88*$AA88/الافتراضات!$B$28),"")</f>
        <v>0.3027303952960354</v>
      </c>
      <c r="BA88" s="91" cm="1">
        <f t="array" ref="BA88">IFERROR(_xlfn.IFS($AB88="عدد الموظفين/الوحدة",V88*$AA88,$AB88='طريقة الحساب'!$B$2,V88*$AA88/الافتراضات!$B$27,$AB88='طريقة الحساب'!$B$3,V88*$AA88/الافتراضات!$B$26,$AB88='طريقة الحساب'!$B$4,V88*$AA88/الافتراضات!$B$28),"")</f>
        <v>0.3027303952960354</v>
      </c>
      <c r="BB88" s="91" cm="1">
        <f t="array" ref="BB88">IFERROR(_xlfn.IFS($AB88="عدد الموظفين/الوحدة",W88*$AA88,$AB88='طريقة الحساب'!$B$2,W88*$AA88/الافتراضات!$B$27,$AB88='طريقة الحساب'!$B$3,W88*$AA88/الافتراضات!$B$26,$AB88='طريقة الحساب'!$B$4,W88*$AA88/الافتراضات!$B$28),"")</f>
        <v>0.3027303952960354</v>
      </c>
      <c r="BC88" s="91" cm="1">
        <f t="array" ref="BC88">IFERROR(_xlfn.IFS($AB88="عدد الموظفين/الوحدة",X88*$AA88,$AB88='طريقة الحساب'!$B$2,X88*$AA88/الافتراضات!$B$27,$AB88='طريقة الحساب'!$B$3,X88*$AA88/الافتراضات!$B$26,$AB88='طريقة الحساب'!$B$4,X88*$AA88/الافتراضات!$B$28),"")</f>
        <v>0.3027303952960354</v>
      </c>
      <c r="BD88" s="91" cm="1">
        <f t="array" ref="BD88">IFERROR(_xlfn.IFS($AB88="عدد الموظفين/الوحدة",Y88*$AA88,$AB88='طريقة الحساب'!$B$2,Y88*$AA88/الافتراضات!$B$27,$AB88='طريقة الحساب'!$B$3,Y88*$AA88/الافتراضات!$B$26,$AB88='طريقة الحساب'!$B$4,Y88*$AA88/الافتراضات!$B$28),"")</f>
        <v>0.3027303952960354</v>
      </c>
      <c r="BE88" s="91" cm="1">
        <f t="array" ref="BE88">IFERROR(_xlfn.IFS($AB88="عدد الموظفين/الوحدة",Z88*$AA88,$AB88='طريقة الحساب'!$B$2,Z88*$AA88/الافتراضات!$B$27,$AB88='طريقة الحساب'!$B$3,Z88*$AA88/الافتراضات!$B$26,$AB88='طريقة الحساب'!$B$4,Z88*$AA88/الافتراضات!$B$28),"")</f>
        <v>0</v>
      </c>
      <c r="BF88" s="92"/>
    </row>
    <row r="89" spans="2:58" x14ac:dyDescent="0.35">
      <c r="B89" s="124" t="s">
        <v>87</v>
      </c>
      <c r="C89" s="131" t="s">
        <v>88</v>
      </c>
      <c r="D89" s="131" t="s">
        <v>90</v>
      </c>
      <c r="E89" s="138" t="s">
        <v>92</v>
      </c>
      <c r="F89" s="125" t="s">
        <v>171</v>
      </c>
      <c r="G89" s="126" t="s">
        <v>84</v>
      </c>
      <c r="H89" s="127"/>
      <c r="I89" s="132">
        <v>3600</v>
      </c>
      <c r="J89" s="133">
        <v>3600</v>
      </c>
      <c r="K89" s="133">
        <v>3600</v>
      </c>
      <c r="L89" s="133">
        <v>3600</v>
      </c>
      <c r="M89" s="133">
        <v>3600</v>
      </c>
      <c r="N89" s="133">
        <v>3600</v>
      </c>
      <c r="O89" s="133">
        <v>3600</v>
      </c>
      <c r="P89" s="139">
        <v>10</v>
      </c>
      <c r="Q89" s="134" t="s">
        <v>45</v>
      </c>
      <c r="R89" s="128"/>
      <c r="S89" s="135">
        <v>3600</v>
      </c>
      <c r="T89" s="135">
        <v>3600</v>
      </c>
      <c r="U89" s="135">
        <v>3600</v>
      </c>
      <c r="V89" s="135">
        <v>3600</v>
      </c>
      <c r="W89" s="135">
        <v>3600</v>
      </c>
      <c r="X89" s="135">
        <v>3600</v>
      </c>
      <c r="Y89" s="135">
        <v>3600</v>
      </c>
      <c r="Z89" s="79"/>
      <c r="AA89" s="135">
        <v>10</v>
      </c>
      <c r="AB89" s="136" t="s">
        <v>45</v>
      </c>
      <c r="AC89" s="80"/>
      <c r="AD89" s="81"/>
      <c r="AE89" s="82"/>
      <c r="AF89" s="82"/>
      <c r="AG89" s="82"/>
      <c r="AH89" s="82"/>
      <c r="AI89" s="82"/>
      <c r="AJ89" s="82"/>
      <c r="AK89" s="82"/>
      <c r="AL89" s="82"/>
      <c r="AM89" s="83"/>
      <c r="AN89" s="83"/>
      <c r="AO89" s="84" t="str">
        <f t="shared" si="16"/>
        <v>لا</v>
      </c>
      <c r="AP89" s="85" t="str">
        <f t="shared" si="17"/>
        <v/>
      </c>
      <c r="AQ89" s="84" t="str">
        <f t="shared" si="18"/>
        <v>لا</v>
      </c>
      <c r="AR89" s="85" t="str">
        <f t="shared" si="19"/>
        <v/>
      </c>
      <c r="AS89" s="86" t="str">
        <f t="shared" si="20"/>
        <v>لا</v>
      </c>
      <c r="AT89" s="87" t="str">
        <f t="shared" si="21"/>
        <v/>
      </c>
      <c r="AU89" s="88"/>
      <c r="AV89" s="89"/>
      <c r="AW89" s="90"/>
      <c r="AX89" s="91" cm="1">
        <f t="array" ref="AX89">IFERROR(_xlfn.IFS($AB89="عدد الموظفين/الوحدة",S89*$AA89,$AB89='طريقة الحساب'!$B$2,S89*$AA89/الافتراضات!$B$27,$AB89='طريقة الحساب'!$B$3,S89*$AA89/الافتراضات!$B$26,$AB89='طريقة الحساب'!$B$4,S89*$AA89/الافتراضات!$B$28),"")</f>
        <v>0.60546079059207081</v>
      </c>
      <c r="AY89" s="91" cm="1">
        <f t="array" ref="AY89">IFERROR(_xlfn.IFS($AB89="عدد الموظفين/الوحدة",T89*$AA89,$AB89='طريقة الحساب'!$B$2,T89*$AA89/الافتراضات!$B$27,$AB89='طريقة الحساب'!$B$3,T89*$AA89/الافتراضات!$B$26,$AB89='طريقة الحساب'!$B$4,T89*$AA89/الافتراضات!$B$28),"")</f>
        <v>0.60546079059207081</v>
      </c>
      <c r="AZ89" s="91" cm="1">
        <f t="array" ref="AZ89">IFERROR(_xlfn.IFS($AB89="عدد الموظفين/الوحدة",U89*$AA89,$AB89='طريقة الحساب'!$B$2,U89*$AA89/الافتراضات!$B$27,$AB89='طريقة الحساب'!$B$3,U89*$AA89/الافتراضات!$B$26,$AB89='طريقة الحساب'!$B$4,U89*$AA89/الافتراضات!$B$28),"")</f>
        <v>0.60546079059207081</v>
      </c>
      <c r="BA89" s="91" cm="1">
        <f t="array" ref="BA89">IFERROR(_xlfn.IFS($AB89="عدد الموظفين/الوحدة",V89*$AA89,$AB89='طريقة الحساب'!$B$2,V89*$AA89/الافتراضات!$B$27,$AB89='طريقة الحساب'!$B$3,V89*$AA89/الافتراضات!$B$26,$AB89='طريقة الحساب'!$B$4,V89*$AA89/الافتراضات!$B$28),"")</f>
        <v>0.60546079059207081</v>
      </c>
      <c r="BB89" s="91" cm="1">
        <f t="array" ref="BB89">IFERROR(_xlfn.IFS($AB89="عدد الموظفين/الوحدة",W89*$AA89,$AB89='طريقة الحساب'!$B$2,W89*$AA89/الافتراضات!$B$27,$AB89='طريقة الحساب'!$B$3,W89*$AA89/الافتراضات!$B$26,$AB89='طريقة الحساب'!$B$4,W89*$AA89/الافتراضات!$B$28),"")</f>
        <v>0.60546079059207081</v>
      </c>
      <c r="BC89" s="91" cm="1">
        <f t="array" ref="BC89">IFERROR(_xlfn.IFS($AB89="عدد الموظفين/الوحدة",X89*$AA89,$AB89='طريقة الحساب'!$B$2,X89*$AA89/الافتراضات!$B$27,$AB89='طريقة الحساب'!$B$3,X89*$AA89/الافتراضات!$B$26,$AB89='طريقة الحساب'!$B$4,X89*$AA89/الافتراضات!$B$28),"")</f>
        <v>0.60546079059207081</v>
      </c>
      <c r="BD89" s="91" cm="1">
        <f t="array" ref="BD89">IFERROR(_xlfn.IFS($AB89="عدد الموظفين/الوحدة",Y89*$AA89,$AB89='طريقة الحساب'!$B$2,Y89*$AA89/الافتراضات!$B$27,$AB89='طريقة الحساب'!$B$3,Y89*$AA89/الافتراضات!$B$26,$AB89='طريقة الحساب'!$B$4,Y89*$AA89/الافتراضات!$B$28),"")</f>
        <v>0.60546079059207081</v>
      </c>
      <c r="BE89" s="91" cm="1">
        <f t="array" ref="BE89">IFERROR(_xlfn.IFS($AB89="عدد الموظفين/الوحدة",Z89*$AA89,$AB89='طريقة الحساب'!$B$2,Z89*$AA89/الافتراضات!$B$27,$AB89='طريقة الحساب'!$B$3,Z89*$AA89/الافتراضات!$B$26,$AB89='طريقة الحساب'!$B$4,Z89*$AA89/الافتراضات!$B$28),"")</f>
        <v>0</v>
      </c>
      <c r="BF89" s="92"/>
    </row>
    <row r="90" spans="2:58" x14ac:dyDescent="0.35">
      <c r="B90" s="124" t="s">
        <v>87</v>
      </c>
      <c r="C90" s="131" t="s">
        <v>88</v>
      </c>
      <c r="D90" s="131" t="s">
        <v>90</v>
      </c>
      <c r="E90" s="138" t="s">
        <v>92</v>
      </c>
      <c r="F90" s="125" t="s">
        <v>172</v>
      </c>
      <c r="G90" s="126" t="s">
        <v>84</v>
      </c>
      <c r="H90" s="127"/>
      <c r="I90" s="132">
        <v>1000</v>
      </c>
      <c r="J90" s="133">
        <v>1000</v>
      </c>
      <c r="K90" s="133">
        <v>1000</v>
      </c>
      <c r="L90" s="133">
        <v>1000</v>
      </c>
      <c r="M90" s="133">
        <v>1000</v>
      </c>
      <c r="N90" s="133">
        <v>1000</v>
      </c>
      <c r="O90" s="133">
        <v>1000</v>
      </c>
      <c r="P90" s="139">
        <v>10</v>
      </c>
      <c r="Q90" s="134" t="s">
        <v>45</v>
      </c>
      <c r="R90" s="128"/>
      <c r="S90" s="135">
        <v>1000</v>
      </c>
      <c r="T90" s="135">
        <v>1000</v>
      </c>
      <c r="U90" s="135">
        <v>1000</v>
      </c>
      <c r="V90" s="135">
        <v>1000</v>
      </c>
      <c r="W90" s="135">
        <v>1000</v>
      </c>
      <c r="X90" s="135">
        <v>1000</v>
      </c>
      <c r="Y90" s="135">
        <v>1000</v>
      </c>
      <c r="Z90" s="79"/>
      <c r="AA90" s="135">
        <v>10</v>
      </c>
      <c r="AB90" s="136" t="s">
        <v>45</v>
      </c>
      <c r="AC90" s="80"/>
      <c r="AD90" s="81"/>
      <c r="AE90" s="82"/>
      <c r="AF90" s="82"/>
      <c r="AG90" s="82"/>
      <c r="AH90" s="82"/>
      <c r="AI90" s="82"/>
      <c r="AJ90" s="82"/>
      <c r="AK90" s="82"/>
      <c r="AL90" s="82"/>
      <c r="AM90" s="83"/>
      <c r="AN90" s="83"/>
      <c r="AO90" s="84" t="str">
        <f t="shared" si="16"/>
        <v>لا</v>
      </c>
      <c r="AP90" s="85" t="str">
        <f t="shared" si="17"/>
        <v/>
      </c>
      <c r="AQ90" s="84" t="str">
        <f t="shared" si="18"/>
        <v>لا</v>
      </c>
      <c r="AR90" s="85" t="str">
        <f t="shared" si="19"/>
        <v/>
      </c>
      <c r="AS90" s="86" t="str">
        <f t="shared" si="20"/>
        <v>لا</v>
      </c>
      <c r="AT90" s="87" t="str">
        <f t="shared" si="21"/>
        <v/>
      </c>
      <c r="AU90" s="88"/>
      <c r="AV90" s="89"/>
      <c r="AW90" s="90"/>
      <c r="AX90" s="91" cm="1">
        <f t="array" ref="AX90">IFERROR(_xlfn.IFS($AB90="عدد الموظفين/الوحدة",S90*$AA90,$AB90='طريقة الحساب'!$B$2,S90*$AA90/الافتراضات!$B$27,$AB90='طريقة الحساب'!$B$3,S90*$AA90/الافتراضات!$B$26,$AB90='طريقة الحساب'!$B$4,S90*$AA90/الافتراضات!$B$28),"")</f>
        <v>0.16818355294224188</v>
      </c>
      <c r="AY90" s="91" cm="1">
        <f t="array" ref="AY90">IFERROR(_xlfn.IFS($AB90="عدد الموظفين/الوحدة",T90*$AA90,$AB90='طريقة الحساب'!$B$2,T90*$AA90/الافتراضات!$B$27,$AB90='طريقة الحساب'!$B$3,T90*$AA90/الافتراضات!$B$26,$AB90='طريقة الحساب'!$B$4,T90*$AA90/الافتراضات!$B$28),"")</f>
        <v>0.16818355294224188</v>
      </c>
      <c r="AZ90" s="91" cm="1">
        <f t="array" ref="AZ90">IFERROR(_xlfn.IFS($AB90="عدد الموظفين/الوحدة",U90*$AA90,$AB90='طريقة الحساب'!$B$2,U90*$AA90/الافتراضات!$B$27,$AB90='طريقة الحساب'!$B$3,U90*$AA90/الافتراضات!$B$26,$AB90='طريقة الحساب'!$B$4,U90*$AA90/الافتراضات!$B$28),"")</f>
        <v>0.16818355294224188</v>
      </c>
      <c r="BA90" s="91" cm="1">
        <f t="array" ref="BA90">IFERROR(_xlfn.IFS($AB90="عدد الموظفين/الوحدة",V90*$AA90,$AB90='طريقة الحساب'!$B$2,V90*$AA90/الافتراضات!$B$27,$AB90='طريقة الحساب'!$B$3,V90*$AA90/الافتراضات!$B$26,$AB90='طريقة الحساب'!$B$4,V90*$AA90/الافتراضات!$B$28),"")</f>
        <v>0.16818355294224188</v>
      </c>
      <c r="BB90" s="91" cm="1">
        <f t="array" ref="BB90">IFERROR(_xlfn.IFS($AB90="عدد الموظفين/الوحدة",W90*$AA90,$AB90='طريقة الحساب'!$B$2,W90*$AA90/الافتراضات!$B$27,$AB90='طريقة الحساب'!$B$3,W90*$AA90/الافتراضات!$B$26,$AB90='طريقة الحساب'!$B$4,W90*$AA90/الافتراضات!$B$28),"")</f>
        <v>0.16818355294224188</v>
      </c>
      <c r="BC90" s="91" cm="1">
        <f t="array" ref="BC90">IFERROR(_xlfn.IFS($AB90="عدد الموظفين/الوحدة",X90*$AA90,$AB90='طريقة الحساب'!$B$2,X90*$AA90/الافتراضات!$B$27,$AB90='طريقة الحساب'!$B$3,X90*$AA90/الافتراضات!$B$26,$AB90='طريقة الحساب'!$B$4,X90*$AA90/الافتراضات!$B$28),"")</f>
        <v>0.16818355294224188</v>
      </c>
      <c r="BD90" s="91" cm="1">
        <f t="array" ref="BD90">IFERROR(_xlfn.IFS($AB90="عدد الموظفين/الوحدة",Y90*$AA90,$AB90='طريقة الحساب'!$B$2,Y90*$AA90/الافتراضات!$B$27,$AB90='طريقة الحساب'!$B$3,Y90*$AA90/الافتراضات!$B$26,$AB90='طريقة الحساب'!$B$4,Y90*$AA90/الافتراضات!$B$28),"")</f>
        <v>0.16818355294224188</v>
      </c>
      <c r="BE90" s="91" cm="1">
        <f t="array" ref="BE90">IFERROR(_xlfn.IFS($AB90="عدد الموظفين/الوحدة",Z90*$AA90,$AB90='طريقة الحساب'!$B$2,Z90*$AA90/الافتراضات!$B$27,$AB90='طريقة الحساب'!$B$3,Z90*$AA90/الافتراضات!$B$26,$AB90='طريقة الحساب'!$B$4,Z90*$AA90/الافتراضات!$B$28),"")</f>
        <v>0</v>
      </c>
      <c r="BF90" s="92"/>
    </row>
    <row r="91" spans="2:58" x14ac:dyDescent="0.35">
      <c r="B91" s="124" t="s">
        <v>87</v>
      </c>
      <c r="C91" s="131" t="s">
        <v>88</v>
      </c>
      <c r="D91" s="131" t="s">
        <v>90</v>
      </c>
      <c r="E91" s="138" t="s">
        <v>92</v>
      </c>
      <c r="F91" s="125" t="s">
        <v>173</v>
      </c>
      <c r="G91" s="126" t="s">
        <v>84</v>
      </c>
      <c r="H91" s="127"/>
      <c r="I91" s="132">
        <v>2000</v>
      </c>
      <c r="J91" s="133">
        <v>2000</v>
      </c>
      <c r="K91" s="133">
        <v>2000</v>
      </c>
      <c r="L91" s="133">
        <v>2000</v>
      </c>
      <c r="M91" s="133">
        <v>2000</v>
      </c>
      <c r="N91" s="133">
        <v>2000</v>
      </c>
      <c r="O91" s="133">
        <v>2000</v>
      </c>
      <c r="P91" s="139">
        <v>5</v>
      </c>
      <c r="Q91" s="134" t="s">
        <v>45</v>
      </c>
      <c r="R91" s="128"/>
      <c r="S91" s="135">
        <v>2000</v>
      </c>
      <c r="T91" s="135">
        <v>2000</v>
      </c>
      <c r="U91" s="135">
        <v>2000</v>
      </c>
      <c r="V91" s="135">
        <v>2000</v>
      </c>
      <c r="W91" s="135">
        <v>2000</v>
      </c>
      <c r="X91" s="135">
        <v>2000</v>
      </c>
      <c r="Y91" s="135">
        <v>2000</v>
      </c>
      <c r="Z91" s="79"/>
      <c r="AA91" s="135">
        <v>5</v>
      </c>
      <c r="AB91" s="136" t="s">
        <v>45</v>
      </c>
      <c r="AC91" s="80"/>
      <c r="AD91" s="81"/>
      <c r="AE91" s="82"/>
      <c r="AF91" s="82"/>
      <c r="AG91" s="82"/>
      <c r="AH91" s="82"/>
      <c r="AI91" s="82"/>
      <c r="AJ91" s="82"/>
      <c r="AK91" s="82"/>
      <c r="AL91" s="82"/>
      <c r="AM91" s="83"/>
      <c r="AN91" s="83"/>
      <c r="AO91" s="84" t="str">
        <f t="shared" si="16"/>
        <v>لا</v>
      </c>
      <c r="AP91" s="85" t="str">
        <f t="shared" si="17"/>
        <v/>
      </c>
      <c r="AQ91" s="84" t="str">
        <f t="shared" si="18"/>
        <v>لا</v>
      </c>
      <c r="AR91" s="85" t="str">
        <f t="shared" si="19"/>
        <v/>
      </c>
      <c r="AS91" s="86" t="str">
        <f t="shared" si="20"/>
        <v>لا</v>
      </c>
      <c r="AT91" s="87" t="str">
        <f t="shared" si="21"/>
        <v/>
      </c>
      <c r="AU91" s="88"/>
      <c r="AV91" s="89"/>
      <c r="AW91" s="90"/>
      <c r="AX91" s="91" cm="1">
        <f t="array" ref="AX91">IFERROR(_xlfn.IFS($AB91="عدد الموظفين/الوحدة",S91*$AA91,$AB91='طريقة الحساب'!$B$2,S91*$AA91/الافتراضات!$B$27,$AB91='طريقة الحساب'!$B$3,S91*$AA91/الافتراضات!$B$26,$AB91='طريقة الحساب'!$B$4,S91*$AA91/الافتراضات!$B$28),"")</f>
        <v>0.16818355294224188</v>
      </c>
      <c r="AY91" s="91" cm="1">
        <f t="array" ref="AY91">IFERROR(_xlfn.IFS($AB91="عدد الموظفين/الوحدة",T91*$AA91,$AB91='طريقة الحساب'!$B$2,T91*$AA91/الافتراضات!$B$27,$AB91='طريقة الحساب'!$B$3,T91*$AA91/الافتراضات!$B$26,$AB91='طريقة الحساب'!$B$4,T91*$AA91/الافتراضات!$B$28),"")</f>
        <v>0.16818355294224188</v>
      </c>
      <c r="AZ91" s="91" cm="1">
        <f t="array" ref="AZ91">IFERROR(_xlfn.IFS($AB91="عدد الموظفين/الوحدة",U91*$AA91,$AB91='طريقة الحساب'!$B$2,U91*$AA91/الافتراضات!$B$27,$AB91='طريقة الحساب'!$B$3,U91*$AA91/الافتراضات!$B$26,$AB91='طريقة الحساب'!$B$4,U91*$AA91/الافتراضات!$B$28),"")</f>
        <v>0.16818355294224188</v>
      </c>
      <c r="BA91" s="91" cm="1">
        <f t="array" ref="BA91">IFERROR(_xlfn.IFS($AB91="عدد الموظفين/الوحدة",V91*$AA91,$AB91='طريقة الحساب'!$B$2,V91*$AA91/الافتراضات!$B$27,$AB91='طريقة الحساب'!$B$3,V91*$AA91/الافتراضات!$B$26,$AB91='طريقة الحساب'!$B$4,V91*$AA91/الافتراضات!$B$28),"")</f>
        <v>0.16818355294224188</v>
      </c>
      <c r="BB91" s="91" cm="1">
        <f t="array" ref="BB91">IFERROR(_xlfn.IFS($AB91="عدد الموظفين/الوحدة",W91*$AA91,$AB91='طريقة الحساب'!$B$2,W91*$AA91/الافتراضات!$B$27,$AB91='طريقة الحساب'!$B$3,W91*$AA91/الافتراضات!$B$26,$AB91='طريقة الحساب'!$B$4,W91*$AA91/الافتراضات!$B$28),"")</f>
        <v>0.16818355294224188</v>
      </c>
      <c r="BC91" s="91" cm="1">
        <f t="array" ref="BC91">IFERROR(_xlfn.IFS($AB91="عدد الموظفين/الوحدة",X91*$AA91,$AB91='طريقة الحساب'!$B$2,X91*$AA91/الافتراضات!$B$27,$AB91='طريقة الحساب'!$B$3,X91*$AA91/الافتراضات!$B$26,$AB91='طريقة الحساب'!$B$4,X91*$AA91/الافتراضات!$B$28),"")</f>
        <v>0.16818355294224188</v>
      </c>
      <c r="BD91" s="91" cm="1">
        <f t="array" ref="BD91">IFERROR(_xlfn.IFS($AB91="عدد الموظفين/الوحدة",Y91*$AA91,$AB91='طريقة الحساب'!$B$2,Y91*$AA91/الافتراضات!$B$27,$AB91='طريقة الحساب'!$B$3,Y91*$AA91/الافتراضات!$B$26,$AB91='طريقة الحساب'!$B$4,Y91*$AA91/الافتراضات!$B$28),"")</f>
        <v>0.16818355294224188</v>
      </c>
      <c r="BE91" s="91" cm="1">
        <f t="array" ref="BE91">IFERROR(_xlfn.IFS($AB91="عدد الموظفين/الوحدة",Z91*$AA91,$AB91='طريقة الحساب'!$B$2,Z91*$AA91/الافتراضات!$B$27,$AB91='طريقة الحساب'!$B$3,Z91*$AA91/الافتراضات!$B$26,$AB91='طريقة الحساب'!$B$4,Z91*$AA91/الافتراضات!$B$28),"")</f>
        <v>0</v>
      </c>
      <c r="BF91" s="92"/>
    </row>
    <row r="92" spans="2:58" x14ac:dyDescent="0.35">
      <c r="B92" s="124" t="s">
        <v>87</v>
      </c>
      <c r="C92" s="131" t="s">
        <v>88</v>
      </c>
      <c r="D92" s="131" t="s">
        <v>90</v>
      </c>
      <c r="E92" s="138" t="s">
        <v>92</v>
      </c>
      <c r="F92" s="125" t="s">
        <v>174</v>
      </c>
      <c r="G92" s="126" t="s">
        <v>84</v>
      </c>
      <c r="H92" s="127"/>
      <c r="I92" s="132">
        <v>1000</v>
      </c>
      <c r="J92" s="133">
        <v>1000</v>
      </c>
      <c r="K92" s="133">
        <v>1000</v>
      </c>
      <c r="L92" s="133">
        <v>1000</v>
      </c>
      <c r="M92" s="133">
        <v>1000</v>
      </c>
      <c r="N92" s="133">
        <v>1000</v>
      </c>
      <c r="O92" s="133">
        <v>1000</v>
      </c>
      <c r="P92" s="139">
        <v>5</v>
      </c>
      <c r="Q92" s="134" t="s">
        <v>45</v>
      </c>
      <c r="R92" s="128"/>
      <c r="S92" s="135">
        <v>1000</v>
      </c>
      <c r="T92" s="135">
        <v>1000</v>
      </c>
      <c r="U92" s="135">
        <v>1000</v>
      </c>
      <c r="V92" s="135">
        <v>1000</v>
      </c>
      <c r="W92" s="135">
        <v>1000</v>
      </c>
      <c r="X92" s="135">
        <v>1000</v>
      </c>
      <c r="Y92" s="135">
        <v>1000</v>
      </c>
      <c r="Z92" s="79"/>
      <c r="AA92" s="135">
        <v>5</v>
      </c>
      <c r="AB92" s="136" t="s">
        <v>45</v>
      </c>
      <c r="AC92" s="80"/>
      <c r="AD92" s="81"/>
      <c r="AE92" s="82"/>
      <c r="AF92" s="82"/>
      <c r="AG92" s="82"/>
      <c r="AH92" s="82"/>
      <c r="AI92" s="82"/>
      <c r="AJ92" s="82"/>
      <c r="AK92" s="82"/>
      <c r="AL92" s="82"/>
      <c r="AM92" s="83"/>
      <c r="AN92" s="83"/>
      <c r="AO92" s="84" t="str">
        <f t="shared" si="16"/>
        <v>لا</v>
      </c>
      <c r="AP92" s="85" t="str">
        <f t="shared" si="17"/>
        <v/>
      </c>
      <c r="AQ92" s="84" t="str">
        <f t="shared" si="18"/>
        <v>لا</v>
      </c>
      <c r="AR92" s="85" t="str">
        <f t="shared" si="19"/>
        <v/>
      </c>
      <c r="AS92" s="86" t="str">
        <f t="shared" si="20"/>
        <v>لا</v>
      </c>
      <c r="AT92" s="87" t="str">
        <f t="shared" si="21"/>
        <v/>
      </c>
      <c r="AU92" s="88"/>
      <c r="AV92" s="89"/>
      <c r="AW92" s="90"/>
      <c r="AX92" s="91" cm="1">
        <f t="array" ref="AX92">IFERROR(_xlfn.IFS($AB92="عدد الموظفين/الوحدة",S92*$AA92,$AB92='طريقة الحساب'!$B$2,S92*$AA92/الافتراضات!$B$27,$AB92='طريقة الحساب'!$B$3,S92*$AA92/الافتراضات!$B$26,$AB92='طريقة الحساب'!$B$4,S92*$AA92/الافتراضات!$B$28),"")</f>
        <v>8.4091776471120941E-2</v>
      </c>
      <c r="AY92" s="91" cm="1">
        <f t="array" ref="AY92">IFERROR(_xlfn.IFS($AB92="عدد الموظفين/الوحدة",T92*$AA92,$AB92='طريقة الحساب'!$B$2,T92*$AA92/الافتراضات!$B$27,$AB92='طريقة الحساب'!$B$3,T92*$AA92/الافتراضات!$B$26,$AB92='طريقة الحساب'!$B$4,T92*$AA92/الافتراضات!$B$28),"")</f>
        <v>8.4091776471120941E-2</v>
      </c>
      <c r="AZ92" s="91" cm="1">
        <f t="array" ref="AZ92">IFERROR(_xlfn.IFS($AB92="عدد الموظفين/الوحدة",U92*$AA92,$AB92='طريقة الحساب'!$B$2,U92*$AA92/الافتراضات!$B$27,$AB92='طريقة الحساب'!$B$3,U92*$AA92/الافتراضات!$B$26,$AB92='طريقة الحساب'!$B$4,U92*$AA92/الافتراضات!$B$28),"")</f>
        <v>8.4091776471120941E-2</v>
      </c>
      <c r="BA92" s="91" cm="1">
        <f t="array" ref="BA92">IFERROR(_xlfn.IFS($AB92="عدد الموظفين/الوحدة",V92*$AA92,$AB92='طريقة الحساب'!$B$2,V92*$AA92/الافتراضات!$B$27,$AB92='طريقة الحساب'!$B$3,V92*$AA92/الافتراضات!$B$26,$AB92='طريقة الحساب'!$B$4,V92*$AA92/الافتراضات!$B$28),"")</f>
        <v>8.4091776471120941E-2</v>
      </c>
      <c r="BB92" s="91" cm="1">
        <f t="array" ref="BB92">IFERROR(_xlfn.IFS($AB92="عدد الموظفين/الوحدة",W92*$AA92,$AB92='طريقة الحساب'!$B$2,W92*$AA92/الافتراضات!$B$27,$AB92='طريقة الحساب'!$B$3,W92*$AA92/الافتراضات!$B$26,$AB92='طريقة الحساب'!$B$4,W92*$AA92/الافتراضات!$B$28),"")</f>
        <v>8.4091776471120941E-2</v>
      </c>
      <c r="BC92" s="91" cm="1">
        <f t="array" ref="BC92">IFERROR(_xlfn.IFS($AB92="عدد الموظفين/الوحدة",X92*$AA92,$AB92='طريقة الحساب'!$B$2,X92*$AA92/الافتراضات!$B$27,$AB92='طريقة الحساب'!$B$3,X92*$AA92/الافتراضات!$B$26,$AB92='طريقة الحساب'!$B$4,X92*$AA92/الافتراضات!$B$28),"")</f>
        <v>8.4091776471120941E-2</v>
      </c>
      <c r="BD92" s="91" cm="1">
        <f t="array" ref="BD92">IFERROR(_xlfn.IFS($AB92="عدد الموظفين/الوحدة",Y92*$AA92,$AB92='طريقة الحساب'!$B$2,Y92*$AA92/الافتراضات!$B$27,$AB92='طريقة الحساب'!$B$3,Y92*$AA92/الافتراضات!$B$26,$AB92='طريقة الحساب'!$B$4,Y92*$AA92/الافتراضات!$B$28),"")</f>
        <v>8.4091776471120941E-2</v>
      </c>
      <c r="BE92" s="91" cm="1">
        <f t="array" ref="BE92">IFERROR(_xlfn.IFS($AB92="عدد الموظفين/الوحدة",Z92*$AA92,$AB92='طريقة الحساب'!$B$2,Z92*$AA92/الافتراضات!$B$27,$AB92='طريقة الحساب'!$B$3,Z92*$AA92/الافتراضات!$B$26,$AB92='طريقة الحساب'!$B$4,Z92*$AA92/الافتراضات!$B$28),"")</f>
        <v>0</v>
      </c>
      <c r="BF92" s="92"/>
    </row>
    <row r="93" spans="2:58" x14ac:dyDescent="0.35">
      <c r="B93" s="124" t="s">
        <v>87</v>
      </c>
      <c r="C93" s="131" t="s">
        <v>88</v>
      </c>
      <c r="D93" s="131" t="s">
        <v>90</v>
      </c>
      <c r="E93" s="138" t="s">
        <v>92</v>
      </c>
      <c r="F93" s="125" t="s">
        <v>175</v>
      </c>
      <c r="G93" s="126" t="s">
        <v>84</v>
      </c>
      <c r="H93" s="127"/>
      <c r="I93" s="132">
        <v>480</v>
      </c>
      <c r="J93" s="133">
        <v>480</v>
      </c>
      <c r="K93" s="133">
        <v>480</v>
      </c>
      <c r="L93" s="133">
        <v>480</v>
      </c>
      <c r="M93" s="133">
        <v>480</v>
      </c>
      <c r="N93" s="133">
        <v>480</v>
      </c>
      <c r="O93" s="133">
        <v>480</v>
      </c>
      <c r="P93" s="139">
        <v>10</v>
      </c>
      <c r="Q93" s="134" t="s">
        <v>45</v>
      </c>
      <c r="R93" s="128"/>
      <c r="S93" s="135">
        <v>480</v>
      </c>
      <c r="T93" s="135">
        <v>480</v>
      </c>
      <c r="U93" s="135">
        <v>480</v>
      </c>
      <c r="V93" s="135">
        <v>480</v>
      </c>
      <c r="W93" s="135">
        <v>480</v>
      </c>
      <c r="X93" s="135">
        <v>480</v>
      </c>
      <c r="Y93" s="135">
        <v>480</v>
      </c>
      <c r="Z93" s="79"/>
      <c r="AA93" s="135">
        <v>10</v>
      </c>
      <c r="AB93" s="136" t="s">
        <v>45</v>
      </c>
      <c r="AC93" s="80"/>
      <c r="AD93" s="81"/>
      <c r="AE93" s="82"/>
      <c r="AF93" s="82"/>
      <c r="AG93" s="82"/>
      <c r="AH93" s="82"/>
      <c r="AI93" s="82"/>
      <c r="AJ93" s="82"/>
      <c r="AK93" s="82"/>
      <c r="AL93" s="82"/>
      <c r="AM93" s="83"/>
      <c r="AN93" s="83"/>
      <c r="AO93" s="84" t="str">
        <f t="shared" si="16"/>
        <v>لا</v>
      </c>
      <c r="AP93" s="85" t="str">
        <f t="shared" si="17"/>
        <v/>
      </c>
      <c r="AQ93" s="84" t="str">
        <f t="shared" si="18"/>
        <v>لا</v>
      </c>
      <c r="AR93" s="85" t="str">
        <f t="shared" si="19"/>
        <v/>
      </c>
      <c r="AS93" s="86" t="str">
        <f t="shared" si="20"/>
        <v>لا</v>
      </c>
      <c r="AT93" s="87" t="str">
        <f t="shared" si="21"/>
        <v/>
      </c>
      <c r="AU93" s="88"/>
      <c r="AV93" s="89"/>
      <c r="AW93" s="90"/>
      <c r="AX93" s="91" cm="1">
        <f t="array" ref="AX93">IFERROR(_xlfn.IFS($AB93="عدد الموظفين/الوحدة",S93*$AA93,$AB93='طريقة الحساب'!$B$2,S93*$AA93/الافتراضات!$B$27,$AB93='طريقة الحساب'!$B$3,S93*$AA93/الافتراضات!$B$26,$AB93='طريقة الحساب'!$B$4,S93*$AA93/الافتراضات!$B$28),"")</f>
        <v>8.0728105412276097E-2</v>
      </c>
      <c r="AY93" s="91" cm="1">
        <f t="array" ref="AY93">IFERROR(_xlfn.IFS($AB93="عدد الموظفين/الوحدة",T93*$AA93,$AB93='طريقة الحساب'!$B$2,T93*$AA93/الافتراضات!$B$27,$AB93='طريقة الحساب'!$B$3,T93*$AA93/الافتراضات!$B$26,$AB93='طريقة الحساب'!$B$4,T93*$AA93/الافتراضات!$B$28),"")</f>
        <v>8.0728105412276097E-2</v>
      </c>
      <c r="AZ93" s="91" cm="1">
        <f t="array" ref="AZ93">IFERROR(_xlfn.IFS($AB93="عدد الموظفين/الوحدة",U93*$AA93,$AB93='طريقة الحساب'!$B$2,U93*$AA93/الافتراضات!$B$27,$AB93='طريقة الحساب'!$B$3,U93*$AA93/الافتراضات!$B$26,$AB93='طريقة الحساب'!$B$4,U93*$AA93/الافتراضات!$B$28),"")</f>
        <v>8.0728105412276097E-2</v>
      </c>
      <c r="BA93" s="91" cm="1">
        <f t="array" ref="BA93">IFERROR(_xlfn.IFS($AB93="عدد الموظفين/الوحدة",V93*$AA93,$AB93='طريقة الحساب'!$B$2,V93*$AA93/الافتراضات!$B$27,$AB93='طريقة الحساب'!$B$3,V93*$AA93/الافتراضات!$B$26,$AB93='طريقة الحساب'!$B$4,V93*$AA93/الافتراضات!$B$28),"")</f>
        <v>8.0728105412276097E-2</v>
      </c>
      <c r="BB93" s="91" cm="1">
        <f t="array" ref="BB93">IFERROR(_xlfn.IFS($AB93="عدد الموظفين/الوحدة",W93*$AA93,$AB93='طريقة الحساب'!$B$2,W93*$AA93/الافتراضات!$B$27,$AB93='طريقة الحساب'!$B$3,W93*$AA93/الافتراضات!$B$26,$AB93='طريقة الحساب'!$B$4,W93*$AA93/الافتراضات!$B$28),"")</f>
        <v>8.0728105412276097E-2</v>
      </c>
      <c r="BC93" s="91" cm="1">
        <f t="array" ref="BC93">IFERROR(_xlfn.IFS($AB93="عدد الموظفين/الوحدة",X93*$AA93,$AB93='طريقة الحساب'!$B$2,X93*$AA93/الافتراضات!$B$27,$AB93='طريقة الحساب'!$B$3,X93*$AA93/الافتراضات!$B$26,$AB93='طريقة الحساب'!$B$4,X93*$AA93/الافتراضات!$B$28),"")</f>
        <v>8.0728105412276097E-2</v>
      </c>
      <c r="BD93" s="91" cm="1">
        <f t="array" ref="BD93">IFERROR(_xlfn.IFS($AB93="عدد الموظفين/الوحدة",Y93*$AA93,$AB93='طريقة الحساب'!$B$2,Y93*$AA93/الافتراضات!$B$27,$AB93='طريقة الحساب'!$B$3,Y93*$AA93/الافتراضات!$B$26,$AB93='طريقة الحساب'!$B$4,Y93*$AA93/الافتراضات!$B$28),"")</f>
        <v>8.0728105412276097E-2</v>
      </c>
      <c r="BE93" s="91" cm="1">
        <f t="array" ref="BE93">IFERROR(_xlfn.IFS($AB93="عدد الموظفين/الوحدة",Z93*$AA93,$AB93='طريقة الحساب'!$B$2,Z93*$AA93/الافتراضات!$B$27,$AB93='طريقة الحساب'!$B$3,Z93*$AA93/الافتراضات!$B$26,$AB93='طريقة الحساب'!$B$4,Z93*$AA93/الافتراضات!$B$28),"")</f>
        <v>0</v>
      </c>
      <c r="BF93" s="92"/>
    </row>
    <row r="94" spans="2:58" x14ac:dyDescent="0.35">
      <c r="B94" s="124" t="s">
        <v>87</v>
      </c>
      <c r="C94" s="131" t="s">
        <v>88</v>
      </c>
      <c r="D94" s="131" t="s">
        <v>90</v>
      </c>
      <c r="E94" s="138" t="s">
        <v>92</v>
      </c>
      <c r="F94" s="125" t="s">
        <v>176</v>
      </c>
      <c r="G94" s="126" t="s">
        <v>84</v>
      </c>
      <c r="H94" s="127"/>
      <c r="I94" s="132">
        <v>12</v>
      </c>
      <c r="J94" s="133">
        <v>12</v>
      </c>
      <c r="K94" s="133">
        <v>12</v>
      </c>
      <c r="L94" s="133">
        <v>12</v>
      </c>
      <c r="M94" s="133">
        <v>12</v>
      </c>
      <c r="N94" s="133">
        <v>12</v>
      </c>
      <c r="O94" s="133">
        <v>12</v>
      </c>
      <c r="P94" s="139">
        <v>20</v>
      </c>
      <c r="Q94" s="134" t="s">
        <v>45</v>
      </c>
      <c r="R94" s="128"/>
      <c r="S94" s="135">
        <v>12</v>
      </c>
      <c r="T94" s="135">
        <v>12</v>
      </c>
      <c r="U94" s="135">
        <v>12</v>
      </c>
      <c r="V94" s="135">
        <v>12</v>
      </c>
      <c r="W94" s="135">
        <v>12</v>
      </c>
      <c r="X94" s="135">
        <v>12</v>
      </c>
      <c r="Y94" s="135">
        <v>12</v>
      </c>
      <c r="Z94" s="79"/>
      <c r="AA94" s="135">
        <v>20</v>
      </c>
      <c r="AB94" s="136" t="s">
        <v>45</v>
      </c>
      <c r="AC94" s="80"/>
      <c r="AD94" s="81"/>
      <c r="AE94" s="82"/>
      <c r="AF94" s="82"/>
      <c r="AG94" s="82"/>
      <c r="AH94" s="82"/>
      <c r="AI94" s="82"/>
      <c r="AJ94" s="82"/>
      <c r="AK94" s="82"/>
      <c r="AL94" s="82"/>
      <c r="AM94" s="83"/>
      <c r="AN94" s="83"/>
      <c r="AO94" s="84" t="str">
        <f t="shared" si="16"/>
        <v>لا</v>
      </c>
      <c r="AP94" s="85" t="str">
        <f t="shared" si="17"/>
        <v/>
      </c>
      <c r="AQ94" s="84" t="str">
        <f t="shared" si="18"/>
        <v>لا</v>
      </c>
      <c r="AR94" s="85" t="str">
        <f t="shared" si="19"/>
        <v/>
      </c>
      <c r="AS94" s="86" t="str">
        <f t="shared" si="20"/>
        <v>لا</v>
      </c>
      <c r="AT94" s="87" t="str">
        <f t="shared" si="21"/>
        <v/>
      </c>
      <c r="AU94" s="88"/>
      <c r="AV94" s="89"/>
      <c r="AW94" s="90"/>
      <c r="AX94" s="91" cm="1">
        <f t="array" ref="AX94">IFERROR(_xlfn.IFS($AB94="عدد الموظفين/الوحدة",S94*$AA94,$AB94='طريقة الحساب'!$B$2,S94*$AA94/الافتراضات!$B$27,$AB94='طريقة الحساب'!$B$3,S94*$AA94/الافتراضات!$B$26,$AB94='طريقة الحساب'!$B$4,S94*$AA94/الافتراضات!$B$28),"")</f>
        <v>4.0364052706138055E-3</v>
      </c>
      <c r="AY94" s="91" cm="1">
        <f t="array" ref="AY94">IFERROR(_xlfn.IFS($AB94="عدد الموظفين/الوحدة",T94*$AA94,$AB94='طريقة الحساب'!$B$2,T94*$AA94/الافتراضات!$B$27,$AB94='طريقة الحساب'!$B$3,T94*$AA94/الافتراضات!$B$26,$AB94='طريقة الحساب'!$B$4,T94*$AA94/الافتراضات!$B$28),"")</f>
        <v>4.0364052706138055E-3</v>
      </c>
      <c r="AZ94" s="91" cm="1">
        <f t="array" ref="AZ94">IFERROR(_xlfn.IFS($AB94="عدد الموظفين/الوحدة",U94*$AA94,$AB94='طريقة الحساب'!$B$2,U94*$AA94/الافتراضات!$B$27,$AB94='طريقة الحساب'!$B$3,U94*$AA94/الافتراضات!$B$26,$AB94='طريقة الحساب'!$B$4,U94*$AA94/الافتراضات!$B$28),"")</f>
        <v>4.0364052706138055E-3</v>
      </c>
      <c r="BA94" s="91" cm="1">
        <f t="array" ref="BA94">IFERROR(_xlfn.IFS($AB94="عدد الموظفين/الوحدة",V94*$AA94,$AB94='طريقة الحساب'!$B$2,V94*$AA94/الافتراضات!$B$27,$AB94='طريقة الحساب'!$B$3,V94*$AA94/الافتراضات!$B$26,$AB94='طريقة الحساب'!$B$4,V94*$AA94/الافتراضات!$B$28),"")</f>
        <v>4.0364052706138055E-3</v>
      </c>
      <c r="BB94" s="91" cm="1">
        <f t="array" ref="BB94">IFERROR(_xlfn.IFS($AB94="عدد الموظفين/الوحدة",W94*$AA94,$AB94='طريقة الحساب'!$B$2,W94*$AA94/الافتراضات!$B$27,$AB94='طريقة الحساب'!$B$3,W94*$AA94/الافتراضات!$B$26,$AB94='طريقة الحساب'!$B$4,W94*$AA94/الافتراضات!$B$28),"")</f>
        <v>4.0364052706138055E-3</v>
      </c>
      <c r="BC94" s="91" cm="1">
        <f t="array" ref="BC94">IFERROR(_xlfn.IFS($AB94="عدد الموظفين/الوحدة",X94*$AA94,$AB94='طريقة الحساب'!$B$2,X94*$AA94/الافتراضات!$B$27,$AB94='طريقة الحساب'!$B$3,X94*$AA94/الافتراضات!$B$26,$AB94='طريقة الحساب'!$B$4,X94*$AA94/الافتراضات!$B$28),"")</f>
        <v>4.0364052706138055E-3</v>
      </c>
      <c r="BD94" s="91" cm="1">
        <f t="array" ref="BD94">IFERROR(_xlfn.IFS($AB94="عدد الموظفين/الوحدة",Y94*$AA94,$AB94='طريقة الحساب'!$B$2,Y94*$AA94/الافتراضات!$B$27,$AB94='طريقة الحساب'!$B$3,Y94*$AA94/الافتراضات!$B$26,$AB94='طريقة الحساب'!$B$4,Y94*$AA94/الافتراضات!$B$28),"")</f>
        <v>4.0364052706138055E-3</v>
      </c>
      <c r="BE94" s="91" cm="1">
        <f t="array" ref="BE94">IFERROR(_xlfn.IFS($AB94="عدد الموظفين/الوحدة",Z94*$AA94,$AB94='طريقة الحساب'!$B$2,Z94*$AA94/الافتراضات!$B$27,$AB94='طريقة الحساب'!$B$3,Z94*$AA94/الافتراضات!$B$26,$AB94='طريقة الحساب'!$B$4,Z94*$AA94/الافتراضات!$B$28),"")</f>
        <v>0</v>
      </c>
      <c r="BF94" s="92"/>
    </row>
    <row r="95" spans="2:58" x14ac:dyDescent="0.35">
      <c r="B95" s="124" t="s">
        <v>87</v>
      </c>
      <c r="C95" s="131" t="s">
        <v>88</v>
      </c>
      <c r="D95" s="131" t="s">
        <v>90</v>
      </c>
      <c r="E95" s="138" t="s">
        <v>92</v>
      </c>
      <c r="F95" s="125" t="s">
        <v>177</v>
      </c>
      <c r="G95" s="126" t="s">
        <v>84</v>
      </c>
      <c r="H95" s="127"/>
      <c r="I95" s="132">
        <v>12</v>
      </c>
      <c r="J95" s="133">
        <v>12</v>
      </c>
      <c r="K95" s="133">
        <v>12</v>
      </c>
      <c r="L95" s="133">
        <v>12</v>
      </c>
      <c r="M95" s="133">
        <v>12</v>
      </c>
      <c r="N95" s="133">
        <v>12</v>
      </c>
      <c r="O95" s="133">
        <v>12</v>
      </c>
      <c r="P95" s="139">
        <v>15</v>
      </c>
      <c r="Q95" s="134" t="s">
        <v>45</v>
      </c>
      <c r="R95" s="128"/>
      <c r="S95" s="135">
        <v>12</v>
      </c>
      <c r="T95" s="135">
        <v>12</v>
      </c>
      <c r="U95" s="135">
        <v>12</v>
      </c>
      <c r="V95" s="135">
        <v>12</v>
      </c>
      <c r="W95" s="135">
        <v>12</v>
      </c>
      <c r="X95" s="135">
        <v>12</v>
      </c>
      <c r="Y95" s="135">
        <v>12</v>
      </c>
      <c r="Z95" s="79"/>
      <c r="AA95" s="135">
        <v>15</v>
      </c>
      <c r="AB95" s="136" t="s">
        <v>45</v>
      </c>
      <c r="AC95" s="80"/>
      <c r="AD95" s="81"/>
      <c r="AE95" s="82"/>
      <c r="AF95" s="82"/>
      <c r="AG95" s="82"/>
      <c r="AH95" s="82"/>
      <c r="AI95" s="82"/>
      <c r="AJ95" s="82"/>
      <c r="AK95" s="82"/>
      <c r="AL95" s="82"/>
      <c r="AM95" s="83"/>
      <c r="AN95" s="83"/>
      <c r="AO95" s="84" t="str">
        <f t="shared" si="16"/>
        <v>لا</v>
      </c>
      <c r="AP95" s="85" t="str">
        <f t="shared" si="17"/>
        <v/>
      </c>
      <c r="AQ95" s="84" t="str">
        <f t="shared" si="18"/>
        <v>لا</v>
      </c>
      <c r="AR95" s="85" t="str">
        <f t="shared" si="19"/>
        <v/>
      </c>
      <c r="AS95" s="86" t="str">
        <f t="shared" si="20"/>
        <v>لا</v>
      </c>
      <c r="AT95" s="87" t="str">
        <f t="shared" si="21"/>
        <v/>
      </c>
      <c r="AU95" s="88"/>
      <c r="AV95" s="89"/>
      <c r="AW95" s="90"/>
      <c r="AX95" s="91" cm="1">
        <f t="array" ref="AX95">IFERROR(_xlfn.IFS($AB95="عدد الموظفين/الوحدة",S95*$AA95,$AB95='طريقة الحساب'!$B$2,S95*$AA95/الافتراضات!$B$27,$AB95='طريقة الحساب'!$B$3,S95*$AA95/الافتراضات!$B$26,$AB95='طريقة الحساب'!$B$4,S95*$AA95/الافتراضات!$B$28),"")</f>
        <v>3.0273039529603537E-3</v>
      </c>
      <c r="AY95" s="91" cm="1">
        <f t="array" ref="AY95">IFERROR(_xlfn.IFS($AB95="عدد الموظفين/الوحدة",T95*$AA95,$AB95='طريقة الحساب'!$B$2,T95*$AA95/الافتراضات!$B$27,$AB95='طريقة الحساب'!$B$3,T95*$AA95/الافتراضات!$B$26,$AB95='طريقة الحساب'!$B$4,T95*$AA95/الافتراضات!$B$28),"")</f>
        <v>3.0273039529603537E-3</v>
      </c>
      <c r="AZ95" s="91" cm="1">
        <f t="array" ref="AZ95">IFERROR(_xlfn.IFS($AB95="عدد الموظفين/الوحدة",U95*$AA95,$AB95='طريقة الحساب'!$B$2,U95*$AA95/الافتراضات!$B$27,$AB95='طريقة الحساب'!$B$3,U95*$AA95/الافتراضات!$B$26,$AB95='طريقة الحساب'!$B$4,U95*$AA95/الافتراضات!$B$28),"")</f>
        <v>3.0273039529603537E-3</v>
      </c>
      <c r="BA95" s="91" cm="1">
        <f t="array" ref="BA95">IFERROR(_xlfn.IFS($AB95="عدد الموظفين/الوحدة",V95*$AA95,$AB95='طريقة الحساب'!$B$2,V95*$AA95/الافتراضات!$B$27,$AB95='طريقة الحساب'!$B$3,V95*$AA95/الافتراضات!$B$26,$AB95='طريقة الحساب'!$B$4,V95*$AA95/الافتراضات!$B$28),"")</f>
        <v>3.0273039529603537E-3</v>
      </c>
      <c r="BB95" s="91" cm="1">
        <f t="array" ref="BB95">IFERROR(_xlfn.IFS($AB95="عدد الموظفين/الوحدة",W95*$AA95,$AB95='طريقة الحساب'!$B$2,W95*$AA95/الافتراضات!$B$27,$AB95='طريقة الحساب'!$B$3,W95*$AA95/الافتراضات!$B$26,$AB95='طريقة الحساب'!$B$4,W95*$AA95/الافتراضات!$B$28),"")</f>
        <v>3.0273039529603537E-3</v>
      </c>
      <c r="BC95" s="91" cm="1">
        <f t="array" ref="BC95">IFERROR(_xlfn.IFS($AB95="عدد الموظفين/الوحدة",X95*$AA95,$AB95='طريقة الحساب'!$B$2,X95*$AA95/الافتراضات!$B$27,$AB95='طريقة الحساب'!$B$3,X95*$AA95/الافتراضات!$B$26,$AB95='طريقة الحساب'!$B$4,X95*$AA95/الافتراضات!$B$28),"")</f>
        <v>3.0273039529603537E-3</v>
      </c>
      <c r="BD95" s="91" cm="1">
        <f t="array" ref="BD95">IFERROR(_xlfn.IFS($AB95="عدد الموظفين/الوحدة",Y95*$AA95,$AB95='طريقة الحساب'!$B$2,Y95*$AA95/الافتراضات!$B$27,$AB95='طريقة الحساب'!$B$3,Y95*$AA95/الافتراضات!$B$26,$AB95='طريقة الحساب'!$B$4,Y95*$AA95/الافتراضات!$B$28),"")</f>
        <v>3.0273039529603537E-3</v>
      </c>
      <c r="BE95" s="91" cm="1">
        <f t="array" ref="BE95">IFERROR(_xlfn.IFS($AB95="عدد الموظفين/الوحدة",Z95*$AA95,$AB95='طريقة الحساب'!$B$2,Z95*$AA95/الافتراضات!$B$27,$AB95='طريقة الحساب'!$B$3,Z95*$AA95/الافتراضات!$B$26,$AB95='طريقة الحساب'!$B$4,Z95*$AA95/الافتراضات!$B$28),"")</f>
        <v>0</v>
      </c>
      <c r="BF95" s="92"/>
    </row>
    <row r="96" spans="2:58" x14ac:dyDescent="0.35">
      <c r="B96" s="124" t="s">
        <v>87</v>
      </c>
      <c r="C96" s="131" t="s">
        <v>88</v>
      </c>
      <c r="D96" s="131" t="s">
        <v>90</v>
      </c>
      <c r="E96" s="138" t="s">
        <v>92</v>
      </c>
      <c r="F96" s="125" t="s">
        <v>178</v>
      </c>
      <c r="G96" s="126" t="s">
        <v>84</v>
      </c>
      <c r="H96" s="127"/>
      <c r="I96" s="132">
        <v>150</v>
      </c>
      <c r="J96" s="133">
        <v>150</v>
      </c>
      <c r="K96" s="133">
        <v>150</v>
      </c>
      <c r="L96" s="133">
        <v>150</v>
      </c>
      <c r="M96" s="133">
        <v>150</v>
      </c>
      <c r="N96" s="133">
        <v>150</v>
      </c>
      <c r="O96" s="133">
        <v>150</v>
      </c>
      <c r="P96" s="139">
        <v>10</v>
      </c>
      <c r="Q96" s="134" t="s">
        <v>45</v>
      </c>
      <c r="R96" s="128"/>
      <c r="S96" s="135">
        <v>150</v>
      </c>
      <c r="T96" s="135">
        <v>150</v>
      </c>
      <c r="U96" s="135">
        <v>150</v>
      </c>
      <c r="V96" s="135">
        <v>150</v>
      </c>
      <c r="W96" s="135">
        <v>150</v>
      </c>
      <c r="X96" s="135">
        <v>150</v>
      </c>
      <c r="Y96" s="135">
        <v>150</v>
      </c>
      <c r="Z96" s="79"/>
      <c r="AA96" s="135">
        <v>10</v>
      </c>
      <c r="AB96" s="136" t="s">
        <v>45</v>
      </c>
      <c r="AC96" s="80"/>
      <c r="AD96" s="81"/>
      <c r="AE96" s="82"/>
      <c r="AF96" s="82"/>
      <c r="AG96" s="82"/>
      <c r="AH96" s="82"/>
      <c r="AI96" s="82"/>
      <c r="AJ96" s="82"/>
      <c r="AK96" s="82"/>
      <c r="AL96" s="82"/>
      <c r="AM96" s="83"/>
      <c r="AN96" s="83"/>
      <c r="AO96" s="84" t="str">
        <f t="shared" si="16"/>
        <v>لا</v>
      </c>
      <c r="AP96" s="85" t="str">
        <f t="shared" si="17"/>
        <v/>
      </c>
      <c r="AQ96" s="84" t="str">
        <f t="shared" si="18"/>
        <v>لا</v>
      </c>
      <c r="AR96" s="85" t="str">
        <f t="shared" si="19"/>
        <v/>
      </c>
      <c r="AS96" s="86" t="str">
        <f t="shared" si="20"/>
        <v>لا</v>
      </c>
      <c r="AT96" s="87" t="str">
        <f t="shared" si="21"/>
        <v/>
      </c>
      <c r="AU96" s="88"/>
      <c r="AV96" s="89"/>
      <c r="AW96" s="90"/>
      <c r="AX96" s="91" cm="1">
        <f t="array" ref="AX96">IFERROR(_xlfn.IFS($AB96="عدد الموظفين/الوحدة",S96*$AA96,$AB96='طريقة الحساب'!$B$2,S96*$AA96/الافتراضات!$B$27,$AB96='طريقة الحساب'!$B$3,S96*$AA96/الافتراضات!$B$26,$AB96='طريقة الحساب'!$B$4,S96*$AA96/الافتراضات!$B$28),"")</f>
        <v>2.5227532941336284E-2</v>
      </c>
      <c r="AY96" s="91" cm="1">
        <f t="array" ref="AY96">IFERROR(_xlfn.IFS($AB96="عدد الموظفين/الوحدة",T96*$AA96,$AB96='طريقة الحساب'!$B$2,T96*$AA96/الافتراضات!$B$27,$AB96='طريقة الحساب'!$B$3,T96*$AA96/الافتراضات!$B$26,$AB96='طريقة الحساب'!$B$4,T96*$AA96/الافتراضات!$B$28),"")</f>
        <v>2.5227532941336284E-2</v>
      </c>
      <c r="AZ96" s="91" cm="1">
        <f t="array" ref="AZ96">IFERROR(_xlfn.IFS($AB96="عدد الموظفين/الوحدة",U96*$AA96,$AB96='طريقة الحساب'!$B$2,U96*$AA96/الافتراضات!$B$27,$AB96='طريقة الحساب'!$B$3,U96*$AA96/الافتراضات!$B$26,$AB96='طريقة الحساب'!$B$4,U96*$AA96/الافتراضات!$B$28),"")</f>
        <v>2.5227532941336284E-2</v>
      </c>
      <c r="BA96" s="91" cm="1">
        <f t="array" ref="BA96">IFERROR(_xlfn.IFS($AB96="عدد الموظفين/الوحدة",V96*$AA96,$AB96='طريقة الحساب'!$B$2,V96*$AA96/الافتراضات!$B$27,$AB96='طريقة الحساب'!$B$3,V96*$AA96/الافتراضات!$B$26,$AB96='طريقة الحساب'!$B$4,V96*$AA96/الافتراضات!$B$28),"")</f>
        <v>2.5227532941336284E-2</v>
      </c>
      <c r="BB96" s="91" cm="1">
        <f t="array" ref="BB96">IFERROR(_xlfn.IFS($AB96="عدد الموظفين/الوحدة",W96*$AA96,$AB96='طريقة الحساب'!$B$2,W96*$AA96/الافتراضات!$B$27,$AB96='طريقة الحساب'!$B$3,W96*$AA96/الافتراضات!$B$26,$AB96='طريقة الحساب'!$B$4,W96*$AA96/الافتراضات!$B$28),"")</f>
        <v>2.5227532941336284E-2</v>
      </c>
      <c r="BC96" s="91" cm="1">
        <f t="array" ref="BC96">IFERROR(_xlfn.IFS($AB96="عدد الموظفين/الوحدة",X96*$AA96,$AB96='طريقة الحساب'!$B$2,X96*$AA96/الافتراضات!$B$27,$AB96='طريقة الحساب'!$B$3,X96*$AA96/الافتراضات!$B$26,$AB96='طريقة الحساب'!$B$4,X96*$AA96/الافتراضات!$B$28),"")</f>
        <v>2.5227532941336284E-2</v>
      </c>
      <c r="BD96" s="91" cm="1">
        <f t="array" ref="BD96">IFERROR(_xlfn.IFS($AB96="عدد الموظفين/الوحدة",Y96*$AA96,$AB96='طريقة الحساب'!$B$2,Y96*$AA96/الافتراضات!$B$27,$AB96='طريقة الحساب'!$B$3,Y96*$AA96/الافتراضات!$B$26,$AB96='طريقة الحساب'!$B$4,Y96*$AA96/الافتراضات!$B$28),"")</f>
        <v>2.5227532941336284E-2</v>
      </c>
      <c r="BE96" s="91" cm="1">
        <f t="array" ref="BE96">IFERROR(_xlfn.IFS($AB96="عدد الموظفين/الوحدة",Z96*$AA96,$AB96='طريقة الحساب'!$B$2,Z96*$AA96/الافتراضات!$B$27,$AB96='طريقة الحساب'!$B$3,Z96*$AA96/الافتراضات!$B$26,$AB96='طريقة الحساب'!$B$4,Z96*$AA96/الافتراضات!$B$28),"")</f>
        <v>0</v>
      </c>
      <c r="BF96" s="92"/>
    </row>
    <row r="97" spans="2:58" x14ac:dyDescent="0.35">
      <c r="B97" s="124" t="s">
        <v>87</v>
      </c>
      <c r="C97" s="131" t="s">
        <v>88</v>
      </c>
      <c r="D97" s="131" t="s">
        <v>90</v>
      </c>
      <c r="E97" s="138" t="s">
        <v>92</v>
      </c>
      <c r="F97" s="125" t="s">
        <v>179</v>
      </c>
      <c r="G97" s="126" t="s">
        <v>84</v>
      </c>
      <c r="H97" s="127"/>
      <c r="I97" s="132">
        <v>12</v>
      </c>
      <c r="J97" s="133">
        <v>12</v>
      </c>
      <c r="K97" s="133">
        <v>12</v>
      </c>
      <c r="L97" s="133">
        <v>12</v>
      </c>
      <c r="M97" s="133">
        <v>12</v>
      </c>
      <c r="N97" s="133">
        <v>12</v>
      </c>
      <c r="O97" s="133">
        <v>12</v>
      </c>
      <c r="P97" s="139">
        <v>20</v>
      </c>
      <c r="Q97" s="134" t="s">
        <v>45</v>
      </c>
      <c r="R97" s="128"/>
      <c r="S97" s="135">
        <v>12</v>
      </c>
      <c r="T97" s="135">
        <v>12</v>
      </c>
      <c r="U97" s="135">
        <v>12</v>
      </c>
      <c r="V97" s="135">
        <v>12</v>
      </c>
      <c r="W97" s="135">
        <v>12</v>
      </c>
      <c r="X97" s="135">
        <v>12</v>
      </c>
      <c r="Y97" s="135">
        <v>12</v>
      </c>
      <c r="Z97" s="79"/>
      <c r="AA97" s="135">
        <v>20</v>
      </c>
      <c r="AB97" s="136" t="s">
        <v>45</v>
      </c>
      <c r="AC97" s="80"/>
      <c r="AD97" s="81"/>
      <c r="AE97" s="82"/>
      <c r="AF97" s="82"/>
      <c r="AG97" s="82"/>
      <c r="AH97" s="82"/>
      <c r="AI97" s="82"/>
      <c r="AJ97" s="82"/>
      <c r="AK97" s="82"/>
      <c r="AL97" s="82"/>
      <c r="AM97" s="83"/>
      <c r="AN97" s="83"/>
      <c r="AO97" s="84" t="str">
        <f t="shared" si="16"/>
        <v>لا</v>
      </c>
      <c r="AP97" s="85" t="str">
        <f t="shared" si="17"/>
        <v/>
      </c>
      <c r="AQ97" s="84" t="str">
        <f t="shared" si="18"/>
        <v>لا</v>
      </c>
      <c r="AR97" s="85" t="str">
        <f t="shared" si="19"/>
        <v/>
      </c>
      <c r="AS97" s="86" t="str">
        <f t="shared" si="20"/>
        <v>لا</v>
      </c>
      <c r="AT97" s="87" t="str">
        <f t="shared" si="21"/>
        <v/>
      </c>
      <c r="AU97" s="88"/>
      <c r="AV97" s="89"/>
      <c r="AW97" s="90"/>
      <c r="AX97" s="91" cm="1">
        <f t="array" ref="AX97">IFERROR(_xlfn.IFS($AB97="عدد الموظفين/الوحدة",S97*$AA97,$AB97='طريقة الحساب'!$B$2,S97*$AA97/الافتراضات!$B$27,$AB97='طريقة الحساب'!$B$3,S97*$AA97/الافتراضات!$B$26,$AB97='طريقة الحساب'!$B$4,S97*$AA97/الافتراضات!$B$28),"")</f>
        <v>4.0364052706138055E-3</v>
      </c>
      <c r="AY97" s="91" cm="1">
        <f t="array" ref="AY97">IFERROR(_xlfn.IFS($AB97="عدد الموظفين/الوحدة",T97*$AA97,$AB97='طريقة الحساب'!$B$2,T97*$AA97/الافتراضات!$B$27,$AB97='طريقة الحساب'!$B$3,T97*$AA97/الافتراضات!$B$26,$AB97='طريقة الحساب'!$B$4,T97*$AA97/الافتراضات!$B$28),"")</f>
        <v>4.0364052706138055E-3</v>
      </c>
      <c r="AZ97" s="91" cm="1">
        <f t="array" ref="AZ97">IFERROR(_xlfn.IFS($AB97="عدد الموظفين/الوحدة",U97*$AA97,$AB97='طريقة الحساب'!$B$2,U97*$AA97/الافتراضات!$B$27,$AB97='طريقة الحساب'!$B$3,U97*$AA97/الافتراضات!$B$26,$AB97='طريقة الحساب'!$B$4,U97*$AA97/الافتراضات!$B$28),"")</f>
        <v>4.0364052706138055E-3</v>
      </c>
      <c r="BA97" s="91" cm="1">
        <f t="array" ref="BA97">IFERROR(_xlfn.IFS($AB97="عدد الموظفين/الوحدة",V97*$AA97,$AB97='طريقة الحساب'!$B$2,V97*$AA97/الافتراضات!$B$27,$AB97='طريقة الحساب'!$B$3,V97*$AA97/الافتراضات!$B$26,$AB97='طريقة الحساب'!$B$4,V97*$AA97/الافتراضات!$B$28),"")</f>
        <v>4.0364052706138055E-3</v>
      </c>
      <c r="BB97" s="91" cm="1">
        <f t="array" ref="BB97">IFERROR(_xlfn.IFS($AB97="عدد الموظفين/الوحدة",W97*$AA97,$AB97='طريقة الحساب'!$B$2,W97*$AA97/الافتراضات!$B$27,$AB97='طريقة الحساب'!$B$3,W97*$AA97/الافتراضات!$B$26,$AB97='طريقة الحساب'!$B$4,W97*$AA97/الافتراضات!$B$28),"")</f>
        <v>4.0364052706138055E-3</v>
      </c>
      <c r="BC97" s="91" cm="1">
        <f t="array" ref="BC97">IFERROR(_xlfn.IFS($AB97="عدد الموظفين/الوحدة",X97*$AA97,$AB97='طريقة الحساب'!$B$2,X97*$AA97/الافتراضات!$B$27,$AB97='طريقة الحساب'!$B$3,X97*$AA97/الافتراضات!$B$26,$AB97='طريقة الحساب'!$B$4,X97*$AA97/الافتراضات!$B$28),"")</f>
        <v>4.0364052706138055E-3</v>
      </c>
      <c r="BD97" s="91" cm="1">
        <f t="array" ref="BD97">IFERROR(_xlfn.IFS($AB97="عدد الموظفين/الوحدة",Y97*$AA97,$AB97='طريقة الحساب'!$B$2,Y97*$AA97/الافتراضات!$B$27,$AB97='طريقة الحساب'!$B$3,Y97*$AA97/الافتراضات!$B$26,$AB97='طريقة الحساب'!$B$4,Y97*$AA97/الافتراضات!$B$28),"")</f>
        <v>4.0364052706138055E-3</v>
      </c>
      <c r="BE97" s="91" cm="1">
        <f t="array" ref="BE97">IFERROR(_xlfn.IFS($AB97="عدد الموظفين/الوحدة",Z97*$AA97,$AB97='طريقة الحساب'!$B$2,Z97*$AA97/الافتراضات!$B$27,$AB97='طريقة الحساب'!$B$3,Z97*$AA97/الافتراضات!$B$26,$AB97='طريقة الحساب'!$B$4,Z97*$AA97/الافتراضات!$B$28),"")</f>
        <v>0</v>
      </c>
      <c r="BF97" s="92"/>
    </row>
    <row r="98" spans="2:58" x14ac:dyDescent="0.35">
      <c r="B98" s="124" t="s">
        <v>87</v>
      </c>
      <c r="C98" s="131" t="s">
        <v>88</v>
      </c>
      <c r="D98" s="131" t="s">
        <v>90</v>
      </c>
      <c r="E98" s="138" t="s">
        <v>92</v>
      </c>
      <c r="F98" s="125" t="s">
        <v>180</v>
      </c>
      <c r="G98" s="126" t="s">
        <v>84</v>
      </c>
      <c r="H98" s="127"/>
      <c r="I98" s="132">
        <v>1200</v>
      </c>
      <c r="J98" s="133">
        <v>1200</v>
      </c>
      <c r="K98" s="133">
        <v>1200</v>
      </c>
      <c r="L98" s="133">
        <v>1200</v>
      </c>
      <c r="M98" s="133">
        <v>1200</v>
      </c>
      <c r="N98" s="133">
        <v>1200</v>
      </c>
      <c r="O98" s="133">
        <v>1200</v>
      </c>
      <c r="P98" s="139">
        <v>15</v>
      </c>
      <c r="Q98" s="134" t="s">
        <v>45</v>
      </c>
      <c r="R98" s="128"/>
      <c r="S98" s="135">
        <v>1200</v>
      </c>
      <c r="T98" s="135">
        <v>1200</v>
      </c>
      <c r="U98" s="135">
        <v>1200</v>
      </c>
      <c r="V98" s="135">
        <v>1200</v>
      </c>
      <c r="W98" s="135">
        <v>1200</v>
      </c>
      <c r="X98" s="135">
        <v>1200</v>
      </c>
      <c r="Y98" s="135">
        <v>1200</v>
      </c>
      <c r="Z98" s="79"/>
      <c r="AA98" s="135">
        <v>15</v>
      </c>
      <c r="AB98" s="136" t="s">
        <v>45</v>
      </c>
      <c r="AC98" s="80"/>
      <c r="AD98" s="81"/>
      <c r="AE98" s="82"/>
      <c r="AF98" s="82"/>
      <c r="AG98" s="82"/>
      <c r="AH98" s="82"/>
      <c r="AI98" s="82"/>
      <c r="AJ98" s="82"/>
      <c r="AK98" s="82"/>
      <c r="AL98" s="82"/>
      <c r="AM98" s="83"/>
      <c r="AN98" s="83"/>
      <c r="AO98" s="84" t="str">
        <f t="shared" si="16"/>
        <v>لا</v>
      </c>
      <c r="AP98" s="85" t="str">
        <f t="shared" si="17"/>
        <v/>
      </c>
      <c r="AQ98" s="84" t="str">
        <f t="shared" si="18"/>
        <v>لا</v>
      </c>
      <c r="AR98" s="85" t="str">
        <f t="shared" si="19"/>
        <v/>
      </c>
      <c r="AS98" s="86" t="str">
        <f t="shared" si="20"/>
        <v>لا</v>
      </c>
      <c r="AT98" s="87" t="str">
        <f t="shared" si="21"/>
        <v/>
      </c>
      <c r="AU98" s="88"/>
      <c r="AV98" s="89"/>
      <c r="AW98" s="90"/>
      <c r="AX98" s="91" cm="1">
        <f t="array" ref="AX98">IFERROR(_xlfn.IFS($AB98="عدد الموظفين/الوحدة",S98*$AA98,$AB98='طريقة الحساب'!$B$2,S98*$AA98/الافتراضات!$B$27,$AB98='طريقة الحساب'!$B$3,S98*$AA98/الافتراضات!$B$26,$AB98='طريقة الحساب'!$B$4,S98*$AA98/الافتراضات!$B$28),"")</f>
        <v>0.3027303952960354</v>
      </c>
      <c r="AY98" s="91" cm="1">
        <f t="array" ref="AY98">IFERROR(_xlfn.IFS($AB98="عدد الموظفين/الوحدة",T98*$AA98,$AB98='طريقة الحساب'!$B$2,T98*$AA98/الافتراضات!$B$27,$AB98='طريقة الحساب'!$B$3,T98*$AA98/الافتراضات!$B$26,$AB98='طريقة الحساب'!$B$4,T98*$AA98/الافتراضات!$B$28),"")</f>
        <v>0.3027303952960354</v>
      </c>
      <c r="AZ98" s="91" cm="1">
        <f t="array" ref="AZ98">IFERROR(_xlfn.IFS($AB98="عدد الموظفين/الوحدة",U98*$AA98,$AB98='طريقة الحساب'!$B$2,U98*$AA98/الافتراضات!$B$27,$AB98='طريقة الحساب'!$B$3,U98*$AA98/الافتراضات!$B$26,$AB98='طريقة الحساب'!$B$4,U98*$AA98/الافتراضات!$B$28),"")</f>
        <v>0.3027303952960354</v>
      </c>
      <c r="BA98" s="91" cm="1">
        <f t="array" ref="BA98">IFERROR(_xlfn.IFS($AB98="عدد الموظفين/الوحدة",V98*$AA98,$AB98='طريقة الحساب'!$B$2,V98*$AA98/الافتراضات!$B$27,$AB98='طريقة الحساب'!$B$3,V98*$AA98/الافتراضات!$B$26,$AB98='طريقة الحساب'!$B$4,V98*$AA98/الافتراضات!$B$28),"")</f>
        <v>0.3027303952960354</v>
      </c>
      <c r="BB98" s="91" cm="1">
        <f t="array" ref="BB98">IFERROR(_xlfn.IFS($AB98="عدد الموظفين/الوحدة",W98*$AA98,$AB98='طريقة الحساب'!$B$2,W98*$AA98/الافتراضات!$B$27,$AB98='طريقة الحساب'!$B$3,W98*$AA98/الافتراضات!$B$26,$AB98='طريقة الحساب'!$B$4,W98*$AA98/الافتراضات!$B$28),"")</f>
        <v>0.3027303952960354</v>
      </c>
      <c r="BC98" s="91" cm="1">
        <f t="array" ref="BC98">IFERROR(_xlfn.IFS($AB98="عدد الموظفين/الوحدة",X98*$AA98,$AB98='طريقة الحساب'!$B$2,X98*$AA98/الافتراضات!$B$27,$AB98='طريقة الحساب'!$B$3,X98*$AA98/الافتراضات!$B$26,$AB98='طريقة الحساب'!$B$4,X98*$AA98/الافتراضات!$B$28),"")</f>
        <v>0.3027303952960354</v>
      </c>
      <c r="BD98" s="91" cm="1">
        <f t="array" ref="BD98">IFERROR(_xlfn.IFS($AB98="عدد الموظفين/الوحدة",Y98*$AA98,$AB98='طريقة الحساب'!$B$2,Y98*$AA98/الافتراضات!$B$27,$AB98='طريقة الحساب'!$B$3,Y98*$AA98/الافتراضات!$B$26,$AB98='طريقة الحساب'!$B$4,Y98*$AA98/الافتراضات!$B$28),"")</f>
        <v>0.3027303952960354</v>
      </c>
      <c r="BE98" s="91" cm="1">
        <f t="array" ref="BE98">IFERROR(_xlfn.IFS($AB98="عدد الموظفين/الوحدة",Z98*$AA98,$AB98='طريقة الحساب'!$B$2,Z98*$AA98/الافتراضات!$B$27,$AB98='طريقة الحساب'!$B$3,Z98*$AA98/الافتراضات!$B$26,$AB98='طريقة الحساب'!$B$4,Z98*$AA98/الافتراضات!$B$28),"")</f>
        <v>0</v>
      </c>
      <c r="BF98" s="92"/>
    </row>
    <row r="99" spans="2:58" x14ac:dyDescent="0.35">
      <c r="B99" s="124" t="s">
        <v>87</v>
      </c>
      <c r="C99" s="131" t="s">
        <v>88</v>
      </c>
      <c r="D99" s="131" t="s">
        <v>90</v>
      </c>
      <c r="E99" s="138" t="s">
        <v>92</v>
      </c>
      <c r="F99" s="125" t="s">
        <v>181</v>
      </c>
      <c r="G99" s="126" t="s">
        <v>84</v>
      </c>
      <c r="H99" s="127"/>
      <c r="I99" s="132">
        <v>2850</v>
      </c>
      <c r="J99" s="133">
        <v>2850</v>
      </c>
      <c r="K99" s="133">
        <v>2850</v>
      </c>
      <c r="L99" s="133">
        <v>2850</v>
      </c>
      <c r="M99" s="133">
        <v>2850</v>
      </c>
      <c r="N99" s="133">
        <v>2850</v>
      </c>
      <c r="O99" s="133">
        <v>2850</v>
      </c>
      <c r="P99" s="139">
        <v>20</v>
      </c>
      <c r="Q99" s="134" t="s">
        <v>45</v>
      </c>
      <c r="R99" s="128"/>
      <c r="S99" s="135">
        <v>2850</v>
      </c>
      <c r="T99" s="135">
        <v>2850</v>
      </c>
      <c r="U99" s="135">
        <v>2850</v>
      </c>
      <c r="V99" s="135">
        <v>2850</v>
      </c>
      <c r="W99" s="135">
        <v>2850</v>
      </c>
      <c r="X99" s="135">
        <v>2850</v>
      </c>
      <c r="Y99" s="135">
        <v>2850</v>
      </c>
      <c r="Z99" s="79"/>
      <c r="AA99" s="135">
        <v>20</v>
      </c>
      <c r="AB99" s="136" t="s">
        <v>45</v>
      </c>
      <c r="AC99" s="80"/>
      <c r="AD99" s="81"/>
      <c r="AE99" s="82"/>
      <c r="AF99" s="82"/>
      <c r="AG99" s="82"/>
      <c r="AH99" s="82"/>
      <c r="AI99" s="82"/>
      <c r="AJ99" s="82"/>
      <c r="AK99" s="82"/>
      <c r="AL99" s="82"/>
      <c r="AM99" s="83"/>
      <c r="AN99" s="83"/>
      <c r="AO99" s="84" t="str">
        <f t="shared" si="16"/>
        <v>لا</v>
      </c>
      <c r="AP99" s="85" t="str">
        <f t="shared" si="17"/>
        <v/>
      </c>
      <c r="AQ99" s="84" t="str">
        <f t="shared" si="18"/>
        <v>لا</v>
      </c>
      <c r="AR99" s="85" t="str">
        <f t="shared" si="19"/>
        <v/>
      </c>
      <c r="AS99" s="86" t="str">
        <f t="shared" si="20"/>
        <v>لا</v>
      </c>
      <c r="AT99" s="87" t="str">
        <f t="shared" si="21"/>
        <v/>
      </c>
      <c r="AU99" s="88"/>
      <c r="AV99" s="89"/>
      <c r="AW99" s="90"/>
      <c r="AX99" s="91" cm="1">
        <f t="array" ref="AX99">IFERROR(_xlfn.IFS($AB99="عدد الموظفين/الوحدة",S99*$AA99,$AB99='طريقة الحساب'!$B$2,S99*$AA99/الافتراضات!$B$27,$AB99='طريقة الحساب'!$B$3,S99*$AA99/الافتراضات!$B$26,$AB99='طريقة الحساب'!$B$4,S99*$AA99/الافتراضات!$B$28),"")</f>
        <v>0.95864625177077867</v>
      </c>
      <c r="AY99" s="91" cm="1">
        <f t="array" ref="AY99">IFERROR(_xlfn.IFS($AB99="عدد الموظفين/الوحدة",T99*$AA99,$AB99='طريقة الحساب'!$B$2,T99*$AA99/الافتراضات!$B$27,$AB99='طريقة الحساب'!$B$3,T99*$AA99/الافتراضات!$B$26,$AB99='طريقة الحساب'!$B$4,T99*$AA99/الافتراضات!$B$28),"")</f>
        <v>0.95864625177077867</v>
      </c>
      <c r="AZ99" s="91" cm="1">
        <f t="array" ref="AZ99">IFERROR(_xlfn.IFS($AB99="عدد الموظفين/الوحدة",U99*$AA99,$AB99='طريقة الحساب'!$B$2,U99*$AA99/الافتراضات!$B$27,$AB99='طريقة الحساب'!$B$3,U99*$AA99/الافتراضات!$B$26,$AB99='طريقة الحساب'!$B$4,U99*$AA99/الافتراضات!$B$28),"")</f>
        <v>0.95864625177077867</v>
      </c>
      <c r="BA99" s="91" cm="1">
        <f t="array" ref="BA99">IFERROR(_xlfn.IFS($AB99="عدد الموظفين/الوحدة",V99*$AA99,$AB99='طريقة الحساب'!$B$2,V99*$AA99/الافتراضات!$B$27,$AB99='طريقة الحساب'!$B$3,V99*$AA99/الافتراضات!$B$26,$AB99='طريقة الحساب'!$B$4,V99*$AA99/الافتراضات!$B$28),"")</f>
        <v>0.95864625177077867</v>
      </c>
      <c r="BB99" s="91" cm="1">
        <f t="array" ref="BB99">IFERROR(_xlfn.IFS($AB99="عدد الموظفين/الوحدة",W99*$AA99,$AB99='طريقة الحساب'!$B$2,W99*$AA99/الافتراضات!$B$27,$AB99='طريقة الحساب'!$B$3,W99*$AA99/الافتراضات!$B$26,$AB99='طريقة الحساب'!$B$4,W99*$AA99/الافتراضات!$B$28),"")</f>
        <v>0.95864625177077867</v>
      </c>
      <c r="BC99" s="91" cm="1">
        <f t="array" ref="BC99">IFERROR(_xlfn.IFS($AB99="عدد الموظفين/الوحدة",X99*$AA99,$AB99='طريقة الحساب'!$B$2,X99*$AA99/الافتراضات!$B$27,$AB99='طريقة الحساب'!$B$3,X99*$AA99/الافتراضات!$B$26,$AB99='طريقة الحساب'!$B$4,X99*$AA99/الافتراضات!$B$28),"")</f>
        <v>0.95864625177077867</v>
      </c>
      <c r="BD99" s="91" cm="1">
        <f t="array" ref="BD99">IFERROR(_xlfn.IFS($AB99="عدد الموظفين/الوحدة",Y99*$AA99,$AB99='طريقة الحساب'!$B$2,Y99*$AA99/الافتراضات!$B$27,$AB99='طريقة الحساب'!$B$3,Y99*$AA99/الافتراضات!$B$26,$AB99='طريقة الحساب'!$B$4,Y99*$AA99/الافتراضات!$B$28),"")</f>
        <v>0.95864625177077867</v>
      </c>
      <c r="BE99" s="91" cm="1">
        <f t="array" ref="BE99">IFERROR(_xlfn.IFS($AB99="عدد الموظفين/الوحدة",Z99*$AA99,$AB99='طريقة الحساب'!$B$2,Z99*$AA99/الافتراضات!$B$27,$AB99='طريقة الحساب'!$B$3,Z99*$AA99/الافتراضات!$B$26,$AB99='طريقة الحساب'!$B$4,Z99*$AA99/الافتراضات!$B$28),"")</f>
        <v>0</v>
      </c>
      <c r="BF99" s="92"/>
    </row>
    <row r="100" spans="2:58" x14ac:dyDescent="0.35">
      <c r="B100" s="124" t="s">
        <v>87</v>
      </c>
      <c r="C100" s="131" t="s">
        <v>88</v>
      </c>
      <c r="D100" s="131" t="s">
        <v>90</v>
      </c>
      <c r="E100" s="138" t="s">
        <v>92</v>
      </c>
      <c r="F100" s="125" t="s">
        <v>182</v>
      </c>
      <c r="G100" s="126" t="s">
        <v>84</v>
      </c>
      <c r="H100" s="127"/>
      <c r="I100" s="132">
        <v>1000</v>
      </c>
      <c r="J100" s="133">
        <v>1000</v>
      </c>
      <c r="K100" s="133">
        <v>1000</v>
      </c>
      <c r="L100" s="133">
        <v>1000</v>
      </c>
      <c r="M100" s="133">
        <v>1000</v>
      </c>
      <c r="N100" s="133">
        <v>1000</v>
      </c>
      <c r="O100" s="133">
        <v>1000</v>
      </c>
      <c r="P100" s="139">
        <v>5</v>
      </c>
      <c r="Q100" s="134" t="s">
        <v>45</v>
      </c>
      <c r="R100" s="128"/>
      <c r="S100" s="135">
        <v>1000</v>
      </c>
      <c r="T100" s="135">
        <v>1000</v>
      </c>
      <c r="U100" s="135">
        <v>1000</v>
      </c>
      <c r="V100" s="135">
        <v>1000</v>
      </c>
      <c r="W100" s="135">
        <v>1000</v>
      </c>
      <c r="X100" s="135">
        <v>1000</v>
      </c>
      <c r="Y100" s="135">
        <v>1000</v>
      </c>
      <c r="Z100" s="79"/>
      <c r="AA100" s="135">
        <v>5</v>
      </c>
      <c r="AB100" s="136" t="s">
        <v>45</v>
      </c>
      <c r="AC100" s="80"/>
      <c r="AD100" s="81"/>
      <c r="AE100" s="82"/>
      <c r="AF100" s="82"/>
      <c r="AG100" s="82"/>
      <c r="AH100" s="82"/>
      <c r="AI100" s="82"/>
      <c r="AJ100" s="82"/>
      <c r="AK100" s="82"/>
      <c r="AL100" s="82"/>
      <c r="AM100" s="83"/>
      <c r="AN100" s="83"/>
      <c r="AO100" s="84" t="str">
        <f t="shared" si="16"/>
        <v>لا</v>
      </c>
      <c r="AP100" s="85" t="str">
        <f t="shared" si="17"/>
        <v/>
      </c>
      <c r="AQ100" s="84" t="str">
        <f t="shared" si="18"/>
        <v>لا</v>
      </c>
      <c r="AR100" s="85" t="str">
        <f t="shared" si="19"/>
        <v/>
      </c>
      <c r="AS100" s="86" t="str">
        <f t="shared" si="20"/>
        <v>لا</v>
      </c>
      <c r="AT100" s="87" t="str">
        <f t="shared" si="21"/>
        <v/>
      </c>
      <c r="AU100" s="88"/>
      <c r="AV100" s="89"/>
      <c r="AW100" s="90"/>
      <c r="AX100" s="91" cm="1">
        <f t="array" ref="AX100">IFERROR(_xlfn.IFS($AB100="عدد الموظفين/الوحدة",S100*$AA100,$AB100='طريقة الحساب'!$B$2,S100*$AA100/الافتراضات!$B$27,$AB100='طريقة الحساب'!$B$3,S100*$AA100/الافتراضات!$B$26,$AB100='طريقة الحساب'!$B$4,S100*$AA100/الافتراضات!$B$28),"")</f>
        <v>8.4091776471120941E-2</v>
      </c>
      <c r="AY100" s="91" cm="1">
        <f t="array" ref="AY100">IFERROR(_xlfn.IFS($AB100="عدد الموظفين/الوحدة",T100*$AA100,$AB100='طريقة الحساب'!$B$2,T100*$AA100/الافتراضات!$B$27,$AB100='طريقة الحساب'!$B$3,T100*$AA100/الافتراضات!$B$26,$AB100='طريقة الحساب'!$B$4,T100*$AA100/الافتراضات!$B$28),"")</f>
        <v>8.4091776471120941E-2</v>
      </c>
      <c r="AZ100" s="91" cm="1">
        <f t="array" ref="AZ100">IFERROR(_xlfn.IFS($AB100="عدد الموظفين/الوحدة",U100*$AA100,$AB100='طريقة الحساب'!$B$2,U100*$AA100/الافتراضات!$B$27,$AB100='طريقة الحساب'!$B$3,U100*$AA100/الافتراضات!$B$26,$AB100='طريقة الحساب'!$B$4,U100*$AA100/الافتراضات!$B$28),"")</f>
        <v>8.4091776471120941E-2</v>
      </c>
      <c r="BA100" s="91" cm="1">
        <f t="array" ref="BA100">IFERROR(_xlfn.IFS($AB100="عدد الموظفين/الوحدة",V100*$AA100,$AB100='طريقة الحساب'!$B$2,V100*$AA100/الافتراضات!$B$27,$AB100='طريقة الحساب'!$B$3,V100*$AA100/الافتراضات!$B$26,$AB100='طريقة الحساب'!$B$4,V100*$AA100/الافتراضات!$B$28),"")</f>
        <v>8.4091776471120941E-2</v>
      </c>
      <c r="BB100" s="91" cm="1">
        <f t="array" ref="BB100">IFERROR(_xlfn.IFS($AB100="عدد الموظفين/الوحدة",W100*$AA100,$AB100='طريقة الحساب'!$B$2,W100*$AA100/الافتراضات!$B$27,$AB100='طريقة الحساب'!$B$3,W100*$AA100/الافتراضات!$B$26,$AB100='طريقة الحساب'!$B$4,W100*$AA100/الافتراضات!$B$28),"")</f>
        <v>8.4091776471120941E-2</v>
      </c>
      <c r="BC100" s="91" cm="1">
        <f t="array" ref="BC100">IFERROR(_xlfn.IFS($AB100="عدد الموظفين/الوحدة",X100*$AA100,$AB100='طريقة الحساب'!$B$2,X100*$AA100/الافتراضات!$B$27,$AB100='طريقة الحساب'!$B$3,X100*$AA100/الافتراضات!$B$26,$AB100='طريقة الحساب'!$B$4,X100*$AA100/الافتراضات!$B$28),"")</f>
        <v>8.4091776471120941E-2</v>
      </c>
      <c r="BD100" s="91" cm="1">
        <f t="array" ref="BD100">IFERROR(_xlfn.IFS($AB100="عدد الموظفين/الوحدة",Y100*$AA100,$AB100='طريقة الحساب'!$B$2,Y100*$AA100/الافتراضات!$B$27,$AB100='طريقة الحساب'!$B$3,Y100*$AA100/الافتراضات!$B$26,$AB100='طريقة الحساب'!$B$4,Y100*$AA100/الافتراضات!$B$28),"")</f>
        <v>8.4091776471120941E-2</v>
      </c>
      <c r="BE100" s="91" cm="1">
        <f t="array" ref="BE100">IFERROR(_xlfn.IFS($AB100="عدد الموظفين/الوحدة",Z100*$AA100,$AB100='طريقة الحساب'!$B$2,Z100*$AA100/الافتراضات!$B$27,$AB100='طريقة الحساب'!$B$3,Z100*$AA100/الافتراضات!$B$26,$AB100='طريقة الحساب'!$B$4,Z100*$AA100/الافتراضات!$B$28),"")</f>
        <v>0</v>
      </c>
      <c r="BF100" s="92"/>
    </row>
    <row r="101" spans="2:58" x14ac:dyDescent="0.35">
      <c r="B101" s="124" t="s">
        <v>87</v>
      </c>
      <c r="C101" s="131" t="s">
        <v>88</v>
      </c>
      <c r="D101" s="131" t="s">
        <v>90</v>
      </c>
      <c r="E101" s="138" t="s">
        <v>92</v>
      </c>
      <c r="F101" s="125" t="s">
        <v>183</v>
      </c>
      <c r="G101" s="126" t="s">
        <v>84</v>
      </c>
      <c r="H101" s="127"/>
      <c r="I101" s="132">
        <v>2850</v>
      </c>
      <c r="J101" s="133">
        <v>2850</v>
      </c>
      <c r="K101" s="133">
        <v>2850</v>
      </c>
      <c r="L101" s="133">
        <v>2850</v>
      </c>
      <c r="M101" s="133">
        <v>2850</v>
      </c>
      <c r="N101" s="133">
        <v>2850</v>
      </c>
      <c r="O101" s="133">
        <v>2850</v>
      </c>
      <c r="P101" s="139">
        <v>20</v>
      </c>
      <c r="Q101" s="134" t="s">
        <v>45</v>
      </c>
      <c r="R101" s="128"/>
      <c r="S101" s="135">
        <v>2850</v>
      </c>
      <c r="T101" s="135">
        <v>2850</v>
      </c>
      <c r="U101" s="135">
        <v>2850</v>
      </c>
      <c r="V101" s="135">
        <v>2850</v>
      </c>
      <c r="W101" s="135">
        <v>2850</v>
      </c>
      <c r="X101" s="135">
        <v>2850</v>
      </c>
      <c r="Y101" s="135">
        <v>2850</v>
      </c>
      <c r="Z101" s="79"/>
      <c r="AA101" s="135">
        <v>20</v>
      </c>
      <c r="AB101" s="136" t="s">
        <v>45</v>
      </c>
      <c r="AC101" s="80"/>
      <c r="AD101" s="81"/>
      <c r="AE101" s="82"/>
      <c r="AF101" s="82"/>
      <c r="AG101" s="82"/>
      <c r="AH101" s="82"/>
      <c r="AI101" s="82"/>
      <c r="AJ101" s="82"/>
      <c r="AK101" s="82"/>
      <c r="AL101" s="82"/>
      <c r="AM101" s="83"/>
      <c r="AN101" s="83"/>
      <c r="AO101" s="84" t="str">
        <f t="shared" si="16"/>
        <v>لا</v>
      </c>
      <c r="AP101" s="85" t="str">
        <f t="shared" si="17"/>
        <v/>
      </c>
      <c r="AQ101" s="84" t="str">
        <f t="shared" si="18"/>
        <v>لا</v>
      </c>
      <c r="AR101" s="85" t="str">
        <f t="shared" si="19"/>
        <v/>
      </c>
      <c r="AS101" s="86" t="str">
        <f t="shared" si="20"/>
        <v>لا</v>
      </c>
      <c r="AT101" s="87" t="str">
        <f t="shared" si="21"/>
        <v/>
      </c>
      <c r="AU101" s="88"/>
      <c r="AV101" s="89"/>
      <c r="AW101" s="90"/>
      <c r="AX101" s="91" cm="1">
        <f t="array" ref="AX101">IFERROR(_xlfn.IFS($AB101="عدد الموظفين/الوحدة",S101*$AA101,$AB101='طريقة الحساب'!$B$2,S101*$AA101/الافتراضات!$B$27,$AB101='طريقة الحساب'!$B$3,S101*$AA101/الافتراضات!$B$26,$AB101='طريقة الحساب'!$B$4,S101*$AA101/الافتراضات!$B$28),"")</f>
        <v>0.95864625177077867</v>
      </c>
      <c r="AY101" s="91" cm="1">
        <f t="array" ref="AY101">IFERROR(_xlfn.IFS($AB101="عدد الموظفين/الوحدة",T101*$AA101,$AB101='طريقة الحساب'!$B$2,T101*$AA101/الافتراضات!$B$27,$AB101='طريقة الحساب'!$B$3,T101*$AA101/الافتراضات!$B$26,$AB101='طريقة الحساب'!$B$4,T101*$AA101/الافتراضات!$B$28),"")</f>
        <v>0.95864625177077867</v>
      </c>
      <c r="AZ101" s="91" cm="1">
        <f t="array" ref="AZ101">IFERROR(_xlfn.IFS($AB101="عدد الموظفين/الوحدة",U101*$AA101,$AB101='طريقة الحساب'!$B$2,U101*$AA101/الافتراضات!$B$27,$AB101='طريقة الحساب'!$B$3,U101*$AA101/الافتراضات!$B$26,$AB101='طريقة الحساب'!$B$4,U101*$AA101/الافتراضات!$B$28),"")</f>
        <v>0.95864625177077867</v>
      </c>
      <c r="BA101" s="91" cm="1">
        <f t="array" ref="BA101">IFERROR(_xlfn.IFS($AB101="عدد الموظفين/الوحدة",V101*$AA101,$AB101='طريقة الحساب'!$B$2,V101*$AA101/الافتراضات!$B$27,$AB101='طريقة الحساب'!$B$3,V101*$AA101/الافتراضات!$B$26,$AB101='طريقة الحساب'!$B$4,V101*$AA101/الافتراضات!$B$28),"")</f>
        <v>0.95864625177077867</v>
      </c>
      <c r="BB101" s="91" cm="1">
        <f t="array" ref="BB101">IFERROR(_xlfn.IFS($AB101="عدد الموظفين/الوحدة",W101*$AA101,$AB101='طريقة الحساب'!$B$2,W101*$AA101/الافتراضات!$B$27,$AB101='طريقة الحساب'!$B$3,W101*$AA101/الافتراضات!$B$26,$AB101='طريقة الحساب'!$B$4,W101*$AA101/الافتراضات!$B$28),"")</f>
        <v>0.95864625177077867</v>
      </c>
      <c r="BC101" s="91" cm="1">
        <f t="array" ref="BC101">IFERROR(_xlfn.IFS($AB101="عدد الموظفين/الوحدة",X101*$AA101,$AB101='طريقة الحساب'!$B$2,X101*$AA101/الافتراضات!$B$27,$AB101='طريقة الحساب'!$B$3,X101*$AA101/الافتراضات!$B$26,$AB101='طريقة الحساب'!$B$4,X101*$AA101/الافتراضات!$B$28),"")</f>
        <v>0.95864625177077867</v>
      </c>
      <c r="BD101" s="91" cm="1">
        <f t="array" ref="BD101">IFERROR(_xlfn.IFS($AB101="عدد الموظفين/الوحدة",Y101*$AA101,$AB101='طريقة الحساب'!$B$2,Y101*$AA101/الافتراضات!$B$27,$AB101='طريقة الحساب'!$B$3,Y101*$AA101/الافتراضات!$B$26,$AB101='طريقة الحساب'!$B$4,Y101*$AA101/الافتراضات!$B$28),"")</f>
        <v>0.95864625177077867</v>
      </c>
      <c r="BE101" s="91" cm="1">
        <f t="array" ref="BE101">IFERROR(_xlfn.IFS($AB101="عدد الموظفين/الوحدة",Z101*$AA101,$AB101='طريقة الحساب'!$B$2,Z101*$AA101/الافتراضات!$B$27,$AB101='طريقة الحساب'!$B$3,Z101*$AA101/الافتراضات!$B$26,$AB101='طريقة الحساب'!$B$4,Z101*$AA101/الافتراضات!$B$28),"")</f>
        <v>0</v>
      </c>
      <c r="BF101" s="92"/>
    </row>
    <row r="102" spans="2:58" x14ac:dyDescent="0.35">
      <c r="B102" s="124" t="s">
        <v>87</v>
      </c>
      <c r="C102" s="131" t="s">
        <v>88</v>
      </c>
      <c r="D102" s="131" t="s">
        <v>90</v>
      </c>
      <c r="E102" s="138" t="s">
        <v>92</v>
      </c>
      <c r="F102" s="125" t="s">
        <v>184</v>
      </c>
      <c r="G102" s="126" t="s">
        <v>84</v>
      </c>
      <c r="H102" s="127"/>
      <c r="I102" s="132">
        <v>1200</v>
      </c>
      <c r="J102" s="133">
        <v>1200</v>
      </c>
      <c r="K102" s="133">
        <v>1200</v>
      </c>
      <c r="L102" s="133">
        <v>1200</v>
      </c>
      <c r="M102" s="133">
        <v>1200</v>
      </c>
      <c r="N102" s="133">
        <v>1200</v>
      </c>
      <c r="O102" s="133">
        <v>1200</v>
      </c>
      <c r="P102" s="139">
        <v>10</v>
      </c>
      <c r="Q102" s="134" t="s">
        <v>45</v>
      </c>
      <c r="R102" s="128"/>
      <c r="S102" s="135">
        <v>1200</v>
      </c>
      <c r="T102" s="135">
        <v>1200</v>
      </c>
      <c r="U102" s="135">
        <v>1200</v>
      </c>
      <c r="V102" s="135">
        <v>1200</v>
      </c>
      <c r="W102" s="135">
        <v>1200</v>
      </c>
      <c r="X102" s="135">
        <v>1200</v>
      </c>
      <c r="Y102" s="135">
        <v>1200</v>
      </c>
      <c r="Z102" s="79"/>
      <c r="AA102" s="135">
        <v>10</v>
      </c>
      <c r="AB102" s="136" t="s">
        <v>45</v>
      </c>
      <c r="AC102" s="80"/>
      <c r="AD102" s="81"/>
      <c r="AE102" s="82"/>
      <c r="AF102" s="82"/>
      <c r="AG102" s="82"/>
      <c r="AH102" s="82"/>
      <c r="AI102" s="82"/>
      <c r="AJ102" s="82"/>
      <c r="AK102" s="82"/>
      <c r="AL102" s="82"/>
      <c r="AM102" s="83"/>
      <c r="AN102" s="83"/>
      <c r="AO102" s="84" t="str">
        <f t="shared" si="16"/>
        <v>لا</v>
      </c>
      <c r="AP102" s="85" t="str">
        <f t="shared" si="17"/>
        <v/>
      </c>
      <c r="AQ102" s="84" t="str">
        <f t="shared" si="18"/>
        <v>لا</v>
      </c>
      <c r="AR102" s="85" t="str">
        <f t="shared" si="19"/>
        <v/>
      </c>
      <c r="AS102" s="86" t="str">
        <f t="shared" si="20"/>
        <v>لا</v>
      </c>
      <c r="AT102" s="87" t="str">
        <f t="shared" si="21"/>
        <v/>
      </c>
      <c r="AU102" s="88"/>
      <c r="AV102" s="89"/>
      <c r="AW102" s="90"/>
      <c r="AX102" s="91" cm="1">
        <f t="array" ref="AX102">IFERROR(_xlfn.IFS($AB102="عدد الموظفين/الوحدة",S102*$AA102,$AB102='طريقة الحساب'!$B$2,S102*$AA102/الافتراضات!$B$27,$AB102='طريقة الحساب'!$B$3,S102*$AA102/الافتراضات!$B$26,$AB102='طريقة الحساب'!$B$4,S102*$AA102/الافتراضات!$B$28),"")</f>
        <v>0.20182026353069027</v>
      </c>
      <c r="AY102" s="91" cm="1">
        <f t="array" ref="AY102">IFERROR(_xlfn.IFS($AB102="عدد الموظفين/الوحدة",T102*$AA102,$AB102='طريقة الحساب'!$B$2,T102*$AA102/الافتراضات!$B$27,$AB102='طريقة الحساب'!$B$3,T102*$AA102/الافتراضات!$B$26,$AB102='طريقة الحساب'!$B$4,T102*$AA102/الافتراضات!$B$28),"")</f>
        <v>0.20182026353069027</v>
      </c>
      <c r="AZ102" s="91" cm="1">
        <f t="array" ref="AZ102">IFERROR(_xlfn.IFS($AB102="عدد الموظفين/الوحدة",U102*$AA102,$AB102='طريقة الحساب'!$B$2,U102*$AA102/الافتراضات!$B$27,$AB102='طريقة الحساب'!$B$3,U102*$AA102/الافتراضات!$B$26,$AB102='طريقة الحساب'!$B$4,U102*$AA102/الافتراضات!$B$28),"")</f>
        <v>0.20182026353069027</v>
      </c>
      <c r="BA102" s="91" cm="1">
        <f t="array" ref="BA102">IFERROR(_xlfn.IFS($AB102="عدد الموظفين/الوحدة",V102*$AA102,$AB102='طريقة الحساب'!$B$2,V102*$AA102/الافتراضات!$B$27,$AB102='طريقة الحساب'!$B$3,V102*$AA102/الافتراضات!$B$26,$AB102='طريقة الحساب'!$B$4,V102*$AA102/الافتراضات!$B$28),"")</f>
        <v>0.20182026353069027</v>
      </c>
      <c r="BB102" s="91" cm="1">
        <f t="array" ref="BB102">IFERROR(_xlfn.IFS($AB102="عدد الموظفين/الوحدة",W102*$AA102,$AB102='طريقة الحساب'!$B$2,W102*$AA102/الافتراضات!$B$27,$AB102='طريقة الحساب'!$B$3,W102*$AA102/الافتراضات!$B$26,$AB102='طريقة الحساب'!$B$4,W102*$AA102/الافتراضات!$B$28),"")</f>
        <v>0.20182026353069027</v>
      </c>
      <c r="BC102" s="91" cm="1">
        <f t="array" ref="BC102">IFERROR(_xlfn.IFS($AB102="عدد الموظفين/الوحدة",X102*$AA102,$AB102='طريقة الحساب'!$B$2,X102*$AA102/الافتراضات!$B$27,$AB102='طريقة الحساب'!$B$3,X102*$AA102/الافتراضات!$B$26,$AB102='طريقة الحساب'!$B$4,X102*$AA102/الافتراضات!$B$28),"")</f>
        <v>0.20182026353069027</v>
      </c>
      <c r="BD102" s="91" cm="1">
        <f t="array" ref="BD102">IFERROR(_xlfn.IFS($AB102="عدد الموظفين/الوحدة",Y102*$AA102,$AB102='طريقة الحساب'!$B$2,Y102*$AA102/الافتراضات!$B$27,$AB102='طريقة الحساب'!$B$3,Y102*$AA102/الافتراضات!$B$26,$AB102='طريقة الحساب'!$B$4,Y102*$AA102/الافتراضات!$B$28),"")</f>
        <v>0.20182026353069027</v>
      </c>
      <c r="BE102" s="91" cm="1">
        <f t="array" ref="BE102">IFERROR(_xlfn.IFS($AB102="عدد الموظفين/الوحدة",Z102*$AA102,$AB102='طريقة الحساب'!$B$2,Z102*$AA102/الافتراضات!$B$27,$AB102='طريقة الحساب'!$B$3,Z102*$AA102/الافتراضات!$B$26,$AB102='طريقة الحساب'!$B$4,Z102*$AA102/الافتراضات!$B$28),"")</f>
        <v>0</v>
      </c>
      <c r="BF102" s="92"/>
    </row>
    <row r="103" spans="2:58" x14ac:dyDescent="0.35">
      <c r="B103" s="124" t="s">
        <v>87</v>
      </c>
      <c r="C103" s="131" t="s">
        <v>88</v>
      </c>
      <c r="D103" s="131" t="s">
        <v>90</v>
      </c>
      <c r="E103" s="138" t="s">
        <v>92</v>
      </c>
      <c r="F103" s="125" t="s">
        <v>185</v>
      </c>
      <c r="G103" s="126" t="s">
        <v>84</v>
      </c>
      <c r="H103" s="127"/>
      <c r="I103" s="132">
        <v>2850</v>
      </c>
      <c r="J103" s="133">
        <v>2850</v>
      </c>
      <c r="K103" s="133">
        <v>2850</v>
      </c>
      <c r="L103" s="133">
        <v>2850</v>
      </c>
      <c r="M103" s="133">
        <v>2850</v>
      </c>
      <c r="N103" s="133">
        <v>2850</v>
      </c>
      <c r="O103" s="133">
        <v>2850</v>
      </c>
      <c r="P103" s="139">
        <v>25</v>
      </c>
      <c r="Q103" s="134" t="s">
        <v>45</v>
      </c>
      <c r="R103" s="128"/>
      <c r="S103" s="135">
        <v>2850</v>
      </c>
      <c r="T103" s="135">
        <v>2850</v>
      </c>
      <c r="U103" s="135">
        <v>2850</v>
      </c>
      <c r="V103" s="135">
        <v>2850</v>
      </c>
      <c r="W103" s="135">
        <v>2850</v>
      </c>
      <c r="X103" s="135">
        <v>2850</v>
      </c>
      <c r="Y103" s="135">
        <v>2850</v>
      </c>
      <c r="Z103" s="79"/>
      <c r="AA103" s="135">
        <v>25</v>
      </c>
      <c r="AB103" s="136" t="s">
        <v>45</v>
      </c>
      <c r="AC103" s="80"/>
      <c r="AD103" s="81"/>
      <c r="AE103" s="82"/>
      <c r="AF103" s="82"/>
      <c r="AG103" s="82"/>
      <c r="AH103" s="82"/>
      <c r="AI103" s="82"/>
      <c r="AJ103" s="82"/>
      <c r="AK103" s="82"/>
      <c r="AL103" s="82"/>
      <c r="AM103" s="83"/>
      <c r="AN103" s="83"/>
      <c r="AO103" s="84" t="str">
        <f t="shared" si="16"/>
        <v>لا</v>
      </c>
      <c r="AP103" s="85" t="str">
        <f t="shared" si="17"/>
        <v/>
      </c>
      <c r="AQ103" s="84" t="str">
        <f t="shared" si="18"/>
        <v>لا</v>
      </c>
      <c r="AR103" s="85" t="str">
        <f t="shared" si="19"/>
        <v/>
      </c>
      <c r="AS103" s="86" t="str">
        <f t="shared" si="20"/>
        <v>لا</v>
      </c>
      <c r="AT103" s="87" t="str">
        <f t="shared" si="21"/>
        <v/>
      </c>
      <c r="AU103" s="88"/>
      <c r="AV103" s="89"/>
      <c r="AW103" s="90"/>
      <c r="AX103" s="91" cm="1">
        <f t="array" ref="AX103">IFERROR(_xlfn.IFS($AB103="عدد الموظفين/الوحدة",S103*$AA103,$AB103='طريقة الحساب'!$B$2,S103*$AA103/الافتراضات!$B$27,$AB103='طريقة الحساب'!$B$3,S103*$AA103/الافتراضات!$B$26,$AB103='طريقة الحساب'!$B$4,S103*$AA103/الافتراضات!$B$28),"")</f>
        <v>1.1983078147134734</v>
      </c>
      <c r="AY103" s="91" cm="1">
        <f t="array" ref="AY103">IFERROR(_xlfn.IFS($AB103="عدد الموظفين/الوحدة",T103*$AA103,$AB103='طريقة الحساب'!$B$2,T103*$AA103/الافتراضات!$B$27,$AB103='طريقة الحساب'!$B$3,T103*$AA103/الافتراضات!$B$26,$AB103='طريقة الحساب'!$B$4,T103*$AA103/الافتراضات!$B$28),"")</f>
        <v>1.1983078147134734</v>
      </c>
      <c r="AZ103" s="91" cm="1">
        <f t="array" ref="AZ103">IFERROR(_xlfn.IFS($AB103="عدد الموظفين/الوحدة",U103*$AA103,$AB103='طريقة الحساب'!$B$2,U103*$AA103/الافتراضات!$B$27,$AB103='طريقة الحساب'!$B$3,U103*$AA103/الافتراضات!$B$26,$AB103='طريقة الحساب'!$B$4,U103*$AA103/الافتراضات!$B$28),"")</f>
        <v>1.1983078147134734</v>
      </c>
      <c r="BA103" s="91" cm="1">
        <f t="array" ref="BA103">IFERROR(_xlfn.IFS($AB103="عدد الموظفين/الوحدة",V103*$AA103,$AB103='طريقة الحساب'!$B$2,V103*$AA103/الافتراضات!$B$27,$AB103='طريقة الحساب'!$B$3,V103*$AA103/الافتراضات!$B$26,$AB103='طريقة الحساب'!$B$4,V103*$AA103/الافتراضات!$B$28),"")</f>
        <v>1.1983078147134734</v>
      </c>
      <c r="BB103" s="91" cm="1">
        <f t="array" ref="BB103">IFERROR(_xlfn.IFS($AB103="عدد الموظفين/الوحدة",W103*$AA103,$AB103='طريقة الحساب'!$B$2,W103*$AA103/الافتراضات!$B$27,$AB103='طريقة الحساب'!$B$3,W103*$AA103/الافتراضات!$B$26,$AB103='طريقة الحساب'!$B$4,W103*$AA103/الافتراضات!$B$28),"")</f>
        <v>1.1983078147134734</v>
      </c>
      <c r="BC103" s="91" cm="1">
        <f t="array" ref="BC103">IFERROR(_xlfn.IFS($AB103="عدد الموظفين/الوحدة",X103*$AA103,$AB103='طريقة الحساب'!$B$2,X103*$AA103/الافتراضات!$B$27,$AB103='طريقة الحساب'!$B$3,X103*$AA103/الافتراضات!$B$26,$AB103='طريقة الحساب'!$B$4,X103*$AA103/الافتراضات!$B$28),"")</f>
        <v>1.1983078147134734</v>
      </c>
      <c r="BD103" s="91" cm="1">
        <f t="array" ref="BD103">IFERROR(_xlfn.IFS($AB103="عدد الموظفين/الوحدة",Y103*$AA103,$AB103='طريقة الحساب'!$B$2,Y103*$AA103/الافتراضات!$B$27,$AB103='طريقة الحساب'!$B$3,Y103*$AA103/الافتراضات!$B$26,$AB103='طريقة الحساب'!$B$4,Y103*$AA103/الافتراضات!$B$28),"")</f>
        <v>1.1983078147134734</v>
      </c>
      <c r="BE103" s="91" cm="1">
        <f t="array" ref="BE103">IFERROR(_xlfn.IFS($AB103="عدد الموظفين/الوحدة",Z103*$AA103,$AB103='طريقة الحساب'!$B$2,Z103*$AA103/الافتراضات!$B$27,$AB103='طريقة الحساب'!$B$3,Z103*$AA103/الافتراضات!$B$26,$AB103='طريقة الحساب'!$B$4,Z103*$AA103/الافتراضات!$B$28),"")</f>
        <v>0</v>
      </c>
      <c r="BF103" s="92"/>
    </row>
    <row r="104" spans="2:58" x14ac:dyDescent="0.35">
      <c r="B104" s="124" t="s">
        <v>87</v>
      </c>
      <c r="C104" s="131" t="s">
        <v>88</v>
      </c>
      <c r="D104" s="131" t="s">
        <v>90</v>
      </c>
      <c r="E104" s="138" t="s">
        <v>92</v>
      </c>
      <c r="F104" s="125" t="s">
        <v>186</v>
      </c>
      <c r="G104" s="126" t="s">
        <v>84</v>
      </c>
      <c r="H104" s="127"/>
      <c r="I104" s="132">
        <v>2850</v>
      </c>
      <c r="J104" s="133">
        <v>2850</v>
      </c>
      <c r="K104" s="133">
        <v>2850</v>
      </c>
      <c r="L104" s="133">
        <v>2850</v>
      </c>
      <c r="M104" s="133">
        <v>2850</v>
      </c>
      <c r="N104" s="133">
        <v>2850</v>
      </c>
      <c r="O104" s="133">
        <v>2850</v>
      </c>
      <c r="P104" s="139">
        <v>10</v>
      </c>
      <c r="Q104" s="134" t="s">
        <v>45</v>
      </c>
      <c r="R104" s="128"/>
      <c r="S104" s="135">
        <v>2850</v>
      </c>
      <c r="T104" s="135">
        <v>2850</v>
      </c>
      <c r="U104" s="135">
        <v>2850</v>
      </c>
      <c r="V104" s="135">
        <v>2850</v>
      </c>
      <c r="W104" s="135">
        <v>2850</v>
      </c>
      <c r="X104" s="135">
        <v>2850</v>
      </c>
      <c r="Y104" s="135">
        <v>2850</v>
      </c>
      <c r="Z104" s="79"/>
      <c r="AA104" s="135">
        <v>10</v>
      </c>
      <c r="AB104" s="136" t="s">
        <v>45</v>
      </c>
      <c r="AC104" s="80"/>
      <c r="AD104" s="81"/>
      <c r="AE104" s="82"/>
      <c r="AF104" s="82"/>
      <c r="AG104" s="82"/>
      <c r="AH104" s="82"/>
      <c r="AI104" s="82"/>
      <c r="AJ104" s="82"/>
      <c r="AK104" s="82"/>
      <c r="AL104" s="82"/>
      <c r="AM104" s="83"/>
      <c r="AN104" s="83"/>
      <c r="AO104" s="84" t="str">
        <f t="shared" si="16"/>
        <v>لا</v>
      </c>
      <c r="AP104" s="85" t="str">
        <f t="shared" si="17"/>
        <v/>
      </c>
      <c r="AQ104" s="84" t="str">
        <f t="shared" si="18"/>
        <v>لا</v>
      </c>
      <c r="AR104" s="85" t="str">
        <f t="shared" si="19"/>
        <v/>
      </c>
      <c r="AS104" s="86" t="str">
        <f t="shared" si="20"/>
        <v>لا</v>
      </c>
      <c r="AT104" s="87" t="str">
        <f t="shared" si="21"/>
        <v/>
      </c>
      <c r="AU104" s="88"/>
      <c r="AV104" s="89"/>
      <c r="AW104" s="90"/>
      <c r="AX104" s="91" cm="1">
        <f t="array" ref="AX104">IFERROR(_xlfn.IFS($AB104="عدد الموظفين/الوحدة",S104*$AA104,$AB104='طريقة الحساب'!$B$2,S104*$AA104/الافتراضات!$B$27,$AB104='طريقة الحساب'!$B$3,S104*$AA104/الافتراضات!$B$26,$AB104='طريقة الحساب'!$B$4,S104*$AA104/الافتراضات!$B$28),"")</f>
        <v>0.47932312588538933</v>
      </c>
      <c r="AY104" s="91" cm="1">
        <f t="array" ref="AY104">IFERROR(_xlfn.IFS($AB104="عدد الموظفين/الوحدة",T104*$AA104,$AB104='طريقة الحساب'!$B$2,T104*$AA104/الافتراضات!$B$27,$AB104='طريقة الحساب'!$B$3,T104*$AA104/الافتراضات!$B$26,$AB104='طريقة الحساب'!$B$4,T104*$AA104/الافتراضات!$B$28),"")</f>
        <v>0.47932312588538933</v>
      </c>
      <c r="AZ104" s="91" cm="1">
        <f t="array" ref="AZ104">IFERROR(_xlfn.IFS($AB104="عدد الموظفين/الوحدة",U104*$AA104,$AB104='طريقة الحساب'!$B$2,U104*$AA104/الافتراضات!$B$27,$AB104='طريقة الحساب'!$B$3,U104*$AA104/الافتراضات!$B$26,$AB104='طريقة الحساب'!$B$4,U104*$AA104/الافتراضات!$B$28),"")</f>
        <v>0.47932312588538933</v>
      </c>
      <c r="BA104" s="91" cm="1">
        <f t="array" ref="BA104">IFERROR(_xlfn.IFS($AB104="عدد الموظفين/الوحدة",V104*$AA104,$AB104='طريقة الحساب'!$B$2,V104*$AA104/الافتراضات!$B$27,$AB104='طريقة الحساب'!$B$3,V104*$AA104/الافتراضات!$B$26,$AB104='طريقة الحساب'!$B$4,V104*$AA104/الافتراضات!$B$28),"")</f>
        <v>0.47932312588538933</v>
      </c>
      <c r="BB104" s="91" cm="1">
        <f t="array" ref="BB104">IFERROR(_xlfn.IFS($AB104="عدد الموظفين/الوحدة",W104*$AA104,$AB104='طريقة الحساب'!$B$2,W104*$AA104/الافتراضات!$B$27,$AB104='طريقة الحساب'!$B$3,W104*$AA104/الافتراضات!$B$26,$AB104='طريقة الحساب'!$B$4,W104*$AA104/الافتراضات!$B$28),"")</f>
        <v>0.47932312588538933</v>
      </c>
      <c r="BC104" s="91" cm="1">
        <f t="array" ref="BC104">IFERROR(_xlfn.IFS($AB104="عدد الموظفين/الوحدة",X104*$AA104,$AB104='طريقة الحساب'!$B$2,X104*$AA104/الافتراضات!$B$27,$AB104='طريقة الحساب'!$B$3,X104*$AA104/الافتراضات!$B$26,$AB104='طريقة الحساب'!$B$4,X104*$AA104/الافتراضات!$B$28),"")</f>
        <v>0.47932312588538933</v>
      </c>
      <c r="BD104" s="91" cm="1">
        <f t="array" ref="BD104">IFERROR(_xlfn.IFS($AB104="عدد الموظفين/الوحدة",Y104*$AA104,$AB104='طريقة الحساب'!$B$2,Y104*$AA104/الافتراضات!$B$27,$AB104='طريقة الحساب'!$B$3,Y104*$AA104/الافتراضات!$B$26,$AB104='طريقة الحساب'!$B$4,Y104*$AA104/الافتراضات!$B$28),"")</f>
        <v>0.47932312588538933</v>
      </c>
      <c r="BE104" s="91" cm="1">
        <f t="array" ref="BE104">IFERROR(_xlfn.IFS($AB104="عدد الموظفين/الوحدة",Z104*$AA104,$AB104='طريقة الحساب'!$B$2,Z104*$AA104/الافتراضات!$B$27,$AB104='طريقة الحساب'!$B$3,Z104*$AA104/الافتراضات!$B$26,$AB104='طريقة الحساب'!$B$4,Z104*$AA104/الافتراضات!$B$28),"")</f>
        <v>0</v>
      </c>
      <c r="BF104" s="92"/>
    </row>
    <row r="105" spans="2:58" x14ac:dyDescent="0.35">
      <c r="B105" s="124" t="s">
        <v>87</v>
      </c>
      <c r="C105" s="131" t="s">
        <v>88</v>
      </c>
      <c r="D105" s="131" t="s">
        <v>90</v>
      </c>
      <c r="E105" s="138" t="s">
        <v>92</v>
      </c>
      <c r="F105" s="125" t="s">
        <v>187</v>
      </c>
      <c r="G105" s="126" t="s">
        <v>84</v>
      </c>
      <c r="H105" s="127"/>
      <c r="I105" s="132">
        <v>240</v>
      </c>
      <c r="J105" s="133">
        <v>240</v>
      </c>
      <c r="K105" s="133">
        <v>240</v>
      </c>
      <c r="L105" s="133">
        <v>240</v>
      </c>
      <c r="M105" s="133">
        <v>240</v>
      </c>
      <c r="N105" s="133">
        <v>240</v>
      </c>
      <c r="O105" s="133">
        <v>240</v>
      </c>
      <c r="P105" s="139">
        <v>30</v>
      </c>
      <c r="Q105" s="134" t="s">
        <v>45</v>
      </c>
      <c r="R105" s="128"/>
      <c r="S105" s="135">
        <v>240</v>
      </c>
      <c r="T105" s="135">
        <v>240</v>
      </c>
      <c r="U105" s="135">
        <v>240</v>
      </c>
      <c r="V105" s="135">
        <v>240</v>
      </c>
      <c r="W105" s="135">
        <v>240</v>
      </c>
      <c r="X105" s="135">
        <v>240</v>
      </c>
      <c r="Y105" s="135">
        <v>240</v>
      </c>
      <c r="Z105" s="79"/>
      <c r="AA105" s="135">
        <v>30</v>
      </c>
      <c r="AB105" s="136" t="s">
        <v>45</v>
      </c>
      <c r="AC105" s="80"/>
      <c r="AD105" s="81"/>
      <c r="AE105" s="82"/>
      <c r="AF105" s="82"/>
      <c r="AG105" s="82"/>
      <c r="AH105" s="82"/>
      <c r="AI105" s="82"/>
      <c r="AJ105" s="82"/>
      <c r="AK105" s="82"/>
      <c r="AL105" s="82"/>
      <c r="AM105" s="83"/>
      <c r="AN105" s="83"/>
      <c r="AO105" s="84" t="str">
        <f t="shared" si="16"/>
        <v>لا</v>
      </c>
      <c r="AP105" s="85" t="str">
        <f t="shared" si="17"/>
        <v/>
      </c>
      <c r="AQ105" s="84" t="str">
        <f t="shared" si="18"/>
        <v>لا</v>
      </c>
      <c r="AR105" s="85" t="str">
        <f t="shared" si="19"/>
        <v/>
      </c>
      <c r="AS105" s="86" t="str">
        <f t="shared" si="20"/>
        <v>لا</v>
      </c>
      <c r="AT105" s="87" t="str">
        <f t="shared" si="21"/>
        <v/>
      </c>
      <c r="AU105" s="88"/>
      <c r="AV105" s="89"/>
      <c r="AW105" s="90"/>
      <c r="AX105" s="91" cm="1">
        <f t="array" ref="AX105">IFERROR(_xlfn.IFS($AB105="عدد الموظفين/الوحدة",S105*$AA105,$AB105='طريقة الحساب'!$B$2,S105*$AA105/الافتراضات!$B$27,$AB105='طريقة الحساب'!$B$3,S105*$AA105/الافتراضات!$B$26,$AB105='طريقة الحساب'!$B$4,S105*$AA105/الافتراضات!$B$28),"")</f>
        <v>0.12109215811841416</v>
      </c>
      <c r="AY105" s="91" cm="1">
        <f t="array" ref="AY105">IFERROR(_xlfn.IFS($AB105="عدد الموظفين/الوحدة",T105*$AA105,$AB105='طريقة الحساب'!$B$2,T105*$AA105/الافتراضات!$B$27,$AB105='طريقة الحساب'!$B$3,T105*$AA105/الافتراضات!$B$26,$AB105='طريقة الحساب'!$B$4,T105*$AA105/الافتراضات!$B$28),"")</f>
        <v>0.12109215811841416</v>
      </c>
      <c r="AZ105" s="91" cm="1">
        <f t="array" ref="AZ105">IFERROR(_xlfn.IFS($AB105="عدد الموظفين/الوحدة",U105*$AA105,$AB105='طريقة الحساب'!$B$2,U105*$AA105/الافتراضات!$B$27,$AB105='طريقة الحساب'!$B$3,U105*$AA105/الافتراضات!$B$26,$AB105='طريقة الحساب'!$B$4,U105*$AA105/الافتراضات!$B$28),"")</f>
        <v>0.12109215811841416</v>
      </c>
      <c r="BA105" s="91" cm="1">
        <f t="array" ref="BA105">IFERROR(_xlfn.IFS($AB105="عدد الموظفين/الوحدة",V105*$AA105,$AB105='طريقة الحساب'!$B$2,V105*$AA105/الافتراضات!$B$27,$AB105='طريقة الحساب'!$B$3,V105*$AA105/الافتراضات!$B$26,$AB105='طريقة الحساب'!$B$4,V105*$AA105/الافتراضات!$B$28),"")</f>
        <v>0.12109215811841416</v>
      </c>
      <c r="BB105" s="91" cm="1">
        <f t="array" ref="BB105">IFERROR(_xlfn.IFS($AB105="عدد الموظفين/الوحدة",W105*$AA105,$AB105='طريقة الحساب'!$B$2,W105*$AA105/الافتراضات!$B$27,$AB105='طريقة الحساب'!$B$3,W105*$AA105/الافتراضات!$B$26,$AB105='طريقة الحساب'!$B$4,W105*$AA105/الافتراضات!$B$28),"")</f>
        <v>0.12109215811841416</v>
      </c>
      <c r="BC105" s="91" cm="1">
        <f t="array" ref="BC105">IFERROR(_xlfn.IFS($AB105="عدد الموظفين/الوحدة",X105*$AA105,$AB105='طريقة الحساب'!$B$2,X105*$AA105/الافتراضات!$B$27,$AB105='طريقة الحساب'!$B$3,X105*$AA105/الافتراضات!$B$26,$AB105='طريقة الحساب'!$B$4,X105*$AA105/الافتراضات!$B$28),"")</f>
        <v>0.12109215811841416</v>
      </c>
      <c r="BD105" s="91" cm="1">
        <f t="array" ref="BD105">IFERROR(_xlfn.IFS($AB105="عدد الموظفين/الوحدة",Y105*$AA105,$AB105='طريقة الحساب'!$B$2,Y105*$AA105/الافتراضات!$B$27,$AB105='طريقة الحساب'!$B$3,Y105*$AA105/الافتراضات!$B$26,$AB105='طريقة الحساب'!$B$4,Y105*$AA105/الافتراضات!$B$28),"")</f>
        <v>0.12109215811841416</v>
      </c>
      <c r="BE105" s="91" cm="1">
        <f t="array" ref="BE105">IFERROR(_xlfn.IFS($AB105="عدد الموظفين/الوحدة",Z105*$AA105,$AB105='طريقة الحساب'!$B$2,Z105*$AA105/الافتراضات!$B$27,$AB105='طريقة الحساب'!$B$3,Z105*$AA105/الافتراضات!$B$26,$AB105='طريقة الحساب'!$B$4,Z105*$AA105/الافتراضات!$B$28),"")</f>
        <v>0</v>
      </c>
      <c r="BF105" s="92"/>
    </row>
    <row r="106" spans="2:58" x14ac:dyDescent="0.35">
      <c r="B106" s="124" t="s">
        <v>87</v>
      </c>
      <c r="C106" s="131" t="s">
        <v>88</v>
      </c>
      <c r="D106" s="131" t="s">
        <v>90</v>
      </c>
      <c r="E106" s="138" t="s">
        <v>92</v>
      </c>
      <c r="F106" s="125" t="s">
        <v>188</v>
      </c>
      <c r="G106" s="126" t="s">
        <v>84</v>
      </c>
      <c r="H106" s="127"/>
      <c r="I106" s="132">
        <v>480</v>
      </c>
      <c r="J106" s="133">
        <v>480</v>
      </c>
      <c r="K106" s="133">
        <v>480</v>
      </c>
      <c r="L106" s="133">
        <v>480</v>
      </c>
      <c r="M106" s="133">
        <v>480</v>
      </c>
      <c r="N106" s="133">
        <v>480</v>
      </c>
      <c r="O106" s="133">
        <v>480</v>
      </c>
      <c r="P106" s="139">
        <v>30</v>
      </c>
      <c r="Q106" s="134" t="s">
        <v>45</v>
      </c>
      <c r="R106" s="128"/>
      <c r="S106" s="135">
        <v>480</v>
      </c>
      <c r="T106" s="135">
        <v>480</v>
      </c>
      <c r="U106" s="135">
        <v>480</v>
      </c>
      <c r="V106" s="135">
        <v>480</v>
      </c>
      <c r="W106" s="135">
        <v>480</v>
      </c>
      <c r="X106" s="135">
        <v>480</v>
      </c>
      <c r="Y106" s="135">
        <v>480</v>
      </c>
      <c r="Z106" s="79"/>
      <c r="AA106" s="135">
        <v>30</v>
      </c>
      <c r="AB106" s="136" t="s">
        <v>45</v>
      </c>
      <c r="AC106" s="80"/>
      <c r="AD106" s="81"/>
      <c r="AE106" s="82"/>
      <c r="AF106" s="82"/>
      <c r="AG106" s="82"/>
      <c r="AH106" s="82"/>
      <c r="AI106" s="82"/>
      <c r="AJ106" s="82"/>
      <c r="AK106" s="82"/>
      <c r="AL106" s="82"/>
      <c r="AM106" s="83"/>
      <c r="AN106" s="83"/>
      <c r="AO106" s="84" t="str">
        <f t="shared" si="16"/>
        <v>لا</v>
      </c>
      <c r="AP106" s="85" t="str">
        <f t="shared" si="17"/>
        <v/>
      </c>
      <c r="AQ106" s="84" t="str">
        <f t="shared" si="18"/>
        <v>لا</v>
      </c>
      <c r="AR106" s="85" t="str">
        <f t="shared" si="19"/>
        <v/>
      </c>
      <c r="AS106" s="86" t="str">
        <f t="shared" si="20"/>
        <v>لا</v>
      </c>
      <c r="AT106" s="87" t="str">
        <f t="shared" si="21"/>
        <v/>
      </c>
      <c r="AU106" s="88"/>
      <c r="AV106" s="89"/>
      <c r="AW106" s="90"/>
      <c r="AX106" s="91" cm="1">
        <f t="array" ref="AX106">IFERROR(_xlfn.IFS($AB106="عدد الموظفين/الوحدة",S106*$AA106,$AB106='طريقة الحساب'!$B$2,S106*$AA106/الافتراضات!$B$27,$AB106='طريقة الحساب'!$B$3,S106*$AA106/الافتراضات!$B$26,$AB106='طريقة الحساب'!$B$4,S106*$AA106/الافتراضات!$B$28),"")</f>
        <v>0.24218431623682832</v>
      </c>
      <c r="AY106" s="91" cm="1">
        <f t="array" ref="AY106">IFERROR(_xlfn.IFS($AB106="عدد الموظفين/الوحدة",T106*$AA106,$AB106='طريقة الحساب'!$B$2,T106*$AA106/الافتراضات!$B$27,$AB106='طريقة الحساب'!$B$3,T106*$AA106/الافتراضات!$B$26,$AB106='طريقة الحساب'!$B$4,T106*$AA106/الافتراضات!$B$28),"")</f>
        <v>0.24218431623682832</v>
      </c>
      <c r="AZ106" s="91" cm="1">
        <f t="array" ref="AZ106">IFERROR(_xlfn.IFS($AB106="عدد الموظفين/الوحدة",U106*$AA106,$AB106='طريقة الحساب'!$B$2,U106*$AA106/الافتراضات!$B$27,$AB106='طريقة الحساب'!$B$3,U106*$AA106/الافتراضات!$B$26,$AB106='طريقة الحساب'!$B$4,U106*$AA106/الافتراضات!$B$28),"")</f>
        <v>0.24218431623682832</v>
      </c>
      <c r="BA106" s="91" cm="1">
        <f t="array" ref="BA106">IFERROR(_xlfn.IFS($AB106="عدد الموظفين/الوحدة",V106*$AA106,$AB106='طريقة الحساب'!$B$2,V106*$AA106/الافتراضات!$B$27,$AB106='طريقة الحساب'!$B$3,V106*$AA106/الافتراضات!$B$26,$AB106='طريقة الحساب'!$B$4,V106*$AA106/الافتراضات!$B$28),"")</f>
        <v>0.24218431623682832</v>
      </c>
      <c r="BB106" s="91" cm="1">
        <f t="array" ref="BB106">IFERROR(_xlfn.IFS($AB106="عدد الموظفين/الوحدة",W106*$AA106,$AB106='طريقة الحساب'!$B$2,W106*$AA106/الافتراضات!$B$27,$AB106='طريقة الحساب'!$B$3,W106*$AA106/الافتراضات!$B$26,$AB106='طريقة الحساب'!$B$4,W106*$AA106/الافتراضات!$B$28),"")</f>
        <v>0.24218431623682832</v>
      </c>
      <c r="BC106" s="91" cm="1">
        <f t="array" ref="BC106">IFERROR(_xlfn.IFS($AB106="عدد الموظفين/الوحدة",X106*$AA106,$AB106='طريقة الحساب'!$B$2,X106*$AA106/الافتراضات!$B$27,$AB106='طريقة الحساب'!$B$3,X106*$AA106/الافتراضات!$B$26,$AB106='طريقة الحساب'!$B$4,X106*$AA106/الافتراضات!$B$28),"")</f>
        <v>0.24218431623682832</v>
      </c>
      <c r="BD106" s="91" cm="1">
        <f t="array" ref="BD106">IFERROR(_xlfn.IFS($AB106="عدد الموظفين/الوحدة",Y106*$AA106,$AB106='طريقة الحساب'!$B$2,Y106*$AA106/الافتراضات!$B$27,$AB106='طريقة الحساب'!$B$3,Y106*$AA106/الافتراضات!$B$26,$AB106='طريقة الحساب'!$B$4,Y106*$AA106/الافتراضات!$B$28),"")</f>
        <v>0.24218431623682832</v>
      </c>
      <c r="BE106" s="91" cm="1">
        <f t="array" ref="BE106">IFERROR(_xlfn.IFS($AB106="عدد الموظفين/الوحدة",Z106*$AA106,$AB106='طريقة الحساب'!$B$2,Z106*$AA106/الافتراضات!$B$27,$AB106='طريقة الحساب'!$B$3,Z106*$AA106/الافتراضات!$B$26,$AB106='طريقة الحساب'!$B$4,Z106*$AA106/الافتراضات!$B$28),"")</f>
        <v>0</v>
      </c>
      <c r="BF106" s="92"/>
    </row>
    <row r="107" spans="2:58" x14ac:dyDescent="0.35">
      <c r="B107" s="124" t="s">
        <v>87</v>
      </c>
      <c r="C107" s="131" t="s">
        <v>88</v>
      </c>
      <c r="D107" s="131" t="s">
        <v>90</v>
      </c>
      <c r="E107" s="138" t="s">
        <v>92</v>
      </c>
      <c r="F107" s="125" t="s">
        <v>189</v>
      </c>
      <c r="G107" s="126" t="s">
        <v>84</v>
      </c>
      <c r="H107" s="127"/>
      <c r="I107" s="132">
        <v>384</v>
      </c>
      <c r="J107" s="133">
        <v>384</v>
      </c>
      <c r="K107" s="133">
        <v>384</v>
      </c>
      <c r="L107" s="133">
        <v>384</v>
      </c>
      <c r="M107" s="133">
        <v>384</v>
      </c>
      <c r="N107" s="133">
        <v>384</v>
      </c>
      <c r="O107" s="133">
        <v>384</v>
      </c>
      <c r="P107" s="139">
        <v>20</v>
      </c>
      <c r="Q107" s="134" t="s">
        <v>45</v>
      </c>
      <c r="R107" s="128"/>
      <c r="S107" s="135">
        <v>384</v>
      </c>
      <c r="T107" s="135">
        <v>384</v>
      </c>
      <c r="U107" s="135">
        <v>384</v>
      </c>
      <c r="V107" s="135">
        <v>384</v>
      </c>
      <c r="W107" s="135">
        <v>384</v>
      </c>
      <c r="X107" s="135">
        <v>384</v>
      </c>
      <c r="Y107" s="135">
        <v>384</v>
      </c>
      <c r="Z107" s="79"/>
      <c r="AA107" s="135">
        <v>20</v>
      </c>
      <c r="AB107" s="136" t="s">
        <v>45</v>
      </c>
      <c r="AC107" s="80"/>
      <c r="AD107" s="81"/>
      <c r="AE107" s="82"/>
      <c r="AF107" s="82"/>
      <c r="AG107" s="82"/>
      <c r="AH107" s="82"/>
      <c r="AI107" s="82"/>
      <c r="AJ107" s="82"/>
      <c r="AK107" s="82"/>
      <c r="AL107" s="82"/>
      <c r="AM107" s="83"/>
      <c r="AN107" s="83"/>
      <c r="AO107" s="84" t="str">
        <f t="shared" si="16"/>
        <v>لا</v>
      </c>
      <c r="AP107" s="85" t="str">
        <f t="shared" si="17"/>
        <v/>
      </c>
      <c r="AQ107" s="84" t="str">
        <f t="shared" si="18"/>
        <v>لا</v>
      </c>
      <c r="AR107" s="85" t="str">
        <f t="shared" si="19"/>
        <v/>
      </c>
      <c r="AS107" s="86" t="str">
        <f t="shared" si="20"/>
        <v>لا</v>
      </c>
      <c r="AT107" s="87" t="str">
        <f t="shared" si="21"/>
        <v/>
      </c>
      <c r="AU107" s="88"/>
      <c r="AV107" s="89"/>
      <c r="AW107" s="90"/>
      <c r="AX107" s="91" cm="1">
        <f t="array" ref="AX107">IFERROR(_xlfn.IFS($AB107="عدد الموظفين/الوحدة",S107*$AA107,$AB107='طريقة الحساب'!$B$2,S107*$AA107/الافتراضات!$B$27,$AB107='طريقة الحساب'!$B$3,S107*$AA107/الافتراضات!$B$26,$AB107='طريقة الحساب'!$B$4,S107*$AA107/الافتراضات!$B$28),"")</f>
        <v>0.12916496865964178</v>
      </c>
      <c r="AY107" s="91" cm="1">
        <f t="array" ref="AY107">IFERROR(_xlfn.IFS($AB107="عدد الموظفين/الوحدة",T107*$AA107,$AB107='طريقة الحساب'!$B$2,T107*$AA107/الافتراضات!$B$27,$AB107='طريقة الحساب'!$B$3,T107*$AA107/الافتراضات!$B$26,$AB107='طريقة الحساب'!$B$4,T107*$AA107/الافتراضات!$B$28),"")</f>
        <v>0.12916496865964178</v>
      </c>
      <c r="AZ107" s="91" cm="1">
        <f t="array" ref="AZ107">IFERROR(_xlfn.IFS($AB107="عدد الموظفين/الوحدة",U107*$AA107,$AB107='طريقة الحساب'!$B$2,U107*$AA107/الافتراضات!$B$27,$AB107='طريقة الحساب'!$B$3,U107*$AA107/الافتراضات!$B$26,$AB107='طريقة الحساب'!$B$4,U107*$AA107/الافتراضات!$B$28),"")</f>
        <v>0.12916496865964178</v>
      </c>
      <c r="BA107" s="91" cm="1">
        <f t="array" ref="BA107">IFERROR(_xlfn.IFS($AB107="عدد الموظفين/الوحدة",V107*$AA107,$AB107='طريقة الحساب'!$B$2,V107*$AA107/الافتراضات!$B$27,$AB107='طريقة الحساب'!$B$3,V107*$AA107/الافتراضات!$B$26,$AB107='طريقة الحساب'!$B$4,V107*$AA107/الافتراضات!$B$28),"")</f>
        <v>0.12916496865964178</v>
      </c>
      <c r="BB107" s="91" cm="1">
        <f t="array" ref="BB107">IFERROR(_xlfn.IFS($AB107="عدد الموظفين/الوحدة",W107*$AA107,$AB107='طريقة الحساب'!$B$2,W107*$AA107/الافتراضات!$B$27,$AB107='طريقة الحساب'!$B$3,W107*$AA107/الافتراضات!$B$26,$AB107='طريقة الحساب'!$B$4,W107*$AA107/الافتراضات!$B$28),"")</f>
        <v>0.12916496865964178</v>
      </c>
      <c r="BC107" s="91" cm="1">
        <f t="array" ref="BC107">IFERROR(_xlfn.IFS($AB107="عدد الموظفين/الوحدة",X107*$AA107,$AB107='طريقة الحساب'!$B$2,X107*$AA107/الافتراضات!$B$27,$AB107='طريقة الحساب'!$B$3,X107*$AA107/الافتراضات!$B$26,$AB107='طريقة الحساب'!$B$4,X107*$AA107/الافتراضات!$B$28),"")</f>
        <v>0.12916496865964178</v>
      </c>
      <c r="BD107" s="91" cm="1">
        <f t="array" ref="BD107">IFERROR(_xlfn.IFS($AB107="عدد الموظفين/الوحدة",Y107*$AA107,$AB107='طريقة الحساب'!$B$2,Y107*$AA107/الافتراضات!$B$27,$AB107='طريقة الحساب'!$B$3,Y107*$AA107/الافتراضات!$B$26,$AB107='طريقة الحساب'!$B$4,Y107*$AA107/الافتراضات!$B$28),"")</f>
        <v>0.12916496865964178</v>
      </c>
      <c r="BE107" s="91" cm="1">
        <f t="array" ref="BE107">IFERROR(_xlfn.IFS($AB107="عدد الموظفين/الوحدة",Z107*$AA107,$AB107='طريقة الحساب'!$B$2,Z107*$AA107/الافتراضات!$B$27,$AB107='طريقة الحساب'!$B$3,Z107*$AA107/الافتراضات!$B$26,$AB107='طريقة الحساب'!$B$4,Z107*$AA107/الافتراضات!$B$28),"")</f>
        <v>0</v>
      </c>
      <c r="BF107" s="92"/>
    </row>
    <row r="108" spans="2:58" x14ac:dyDescent="0.35">
      <c r="B108" s="124" t="s">
        <v>87</v>
      </c>
      <c r="C108" s="131" t="s">
        <v>88</v>
      </c>
      <c r="D108" s="131" t="s">
        <v>90</v>
      </c>
      <c r="E108" s="138" t="s">
        <v>92</v>
      </c>
      <c r="F108" s="125" t="s">
        <v>190</v>
      </c>
      <c r="G108" s="126" t="s">
        <v>84</v>
      </c>
      <c r="H108" s="127"/>
      <c r="I108" s="132">
        <v>480</v>
      </c>
      <c r="J108" s="133">
        <v>480</v>
      </c>
      <c r="K108" s="133">
        <v>480</v>
      </c>
      <c r="L108" s="133">
        <v>480</v>
      </c>
      <c r="M108" s="133">
        <v>480</v>
      </c>
      <c r="N108" s="133">
        <v>480</v>
      </c>
      <c r="O108" s="133">
        <v>480</v>
      </c>
      <c r="P108" s="139">
        <v>10</v>
      </c>
      <c r="Q108" s="134" t="s">
        <v>45</v>
      </c>
      <c r="R108" s="128"/>
      <c r="S108" s="135">
        <v>480</v>
      </c>
      <c r="T108" s="135">
        <v>480</v>
      </c>
      <c r="U108" s="135">
        <v>480</v>
      </c>
      <c r="V108" s="135">
        <v>480</v>
      </c>
      <c r="W108" s="135">
        <v>480</v>
      </c>
      <c r="X108" s="135">
        <v>480</v>
      </c>
      <c r="Y108" s="135">
        <v>480</v>
      </c>
      <c r="Z108" s="79"/>
      <c r="AA108" s="135">
        <v>10</v>
      </c>
      <c r="AB108" s="136" t="s">
        <v>45</v>
      </c>
      <c r="AC108" s="80"/>
      <c r="AD108" s="81"/>
      <c r="AE108" s="82"/>
      <c r="AF108" s="82"/>
      <c r="AG108" s="82"/>
      <c r="AH108" s="82"/>
      <c r="AI108" s="82"/>
      <c r="AJ108" s="82"/>
      <c r="AK108" s="82"/>
      <c r="AL108" s="82"/>
      <c r="AM108" s="83"/>
      <c r="AN108" s="83"/>
      <c r="AO108" s="84" t="str">
        <f t="shared" si="16"/>
        <v>لا</v>
      </c>
      <c r="AP108" s="85" t="str">
        <f t="shared" si="17"/>
        <v/>
      </c>
      <c r="AQ108" s="84" t="str">
        <f t="shared" si="18"/>
        <v>لا</v>
      </c>
      <c r="AR108" s="85" t="str">
        <f t="shared" si="19"/>
        <v/>
      </c>
      <c r="AS108" s="86" t="str">
        <f t="shared" si="20"/>
        <v>لا</v>
      </c>
      <c r="AT108" s="87" t="str">
        <f t="shared" si="21"/>
        <v/>
      </c>
      <c r="AU108" s="88"/>
      <c r="AV108" s="89"/>
      <c r="AW108" s="90"/>
      <c r="AX108" s="91" cm="1">
        <f t="array" ref="AX108">IFERROR(_xlfn.IFS($AB108="عدد الموظفين/الوحدة",S108*$AA108,$AB108='طريقة الحساب'!$B$2,S108*$AA108/الافتراضات!$B$27,$AB108='طريقة الحساب'!$B$3,S108*$AA108/الافتراضات!$B$26,$AB108='طريقة الحساب'!$B$4,S108*$AA108/الافتراضات!$B$28),"")</f>
        <v>8.0728105412276097E-2</v>
      </c>
      <c r="AY108" s="91" cm="1">
        <f t="array" ref="AY108">IFERROR(_xlfn.IFS($AB108="عدد الموظفين/الوحدة",T108*$AA108,$AB108='طريقة الحساب'!$B$2,T108*$AA108/الافتراضات!$B$27,$AB108='طريقة الحساب'!$B$3,T108*$AA108/الافتراضات!$B$26,$AB108='طريقة الحساب'!$B$4,T108*$AA108/الافتراضات!$B$28),"")</f>
        <v>8.0728105412276097E-2</v>
      </c>
      <c r="AZ108" s="91" cm="1">
        <f t="array" ref="AZ108">IFERROR(_xlfn.IFS($AB108="عدد الموظفين/الوحدة",U108*$AA108,$AB108='طريقة الحساب'!$B$2,U108*$AA108/الافتراضات!$B$27,$AB108='طريقة الحساب'!$B$3,U108*$AA108/الافتراضات!$B$26,$AB108='طريقة الحساب'!$B$4,U108*$AA108/الافتراضات!$B$28),"")</f>
        <v>8.0728105412276097E-2</v>
      </c>
      <c r="BA108" s="91" cm="1">
        <f t="array" ref="BA108">IFERROR(_xlfn.IFS($AB108="عدد الموظفين/الوحدة",V108*$AA108,$AB108='طريقة الحساب'!$B$2,V108*$AA108/الافتراضات!$B$27,$AB108='طريقة الحساب'!$B$3,V108*$AA108/الافتراضات!$B$26,$AB108='طريقة الحساب'!$B$4,V108*$AA108/الافتراضات!$B$28),"")</f>
        <v>8.0728105412276097E-2</v>
      </c>
      <c r="BB108" s="91" cm="1">
        <f t="array" ref="BB108">IFERROR(_xlfn.IFS($AB108="عدد الموظفين/الوحدة",W108*$AA108,$AB108='طريقة الحساب'!$B$2,W108*$AA108/الافتراضات!$B$27,$AB108='طريقة الحساب'!$B$3,W108*$AA108/الافتراضات!$B$26,$AB108='طريقة الحساب'!$B$4,W108*$AA108/الافتراضات!$B$28),"")</f>
        <v>8.0728105412276097E-2</v>
      </c>
      <c r="BC108" s="91" cm="1">
        <f t="array" ref="BC108">IFERROR(_xlfn.IFS($AB108="عدد الموظفين/الوحدة",X108*$AA108,$AB108='طريقة الحساب'!$B$2,X108*$AA108/الافتراضات!$B$27,$AB108='طريقة الحساب'!$B$3,X108*$AA108/الافتراضات!$B$26,$AB108='طريقة الحساب'!$B$4,X108*$AA108/الافتراضات!$B$28),"")</f>
        <v>8.0728105412276097E-2</v>
      </c>
      <c r="BD108" s="91" cm="1">
        <f t="array" ref="BD108">IFERROR(_xlfn.IFS($AB108="عدد الموظفين/الوحدة",Y108*$AA108,$AB108='طريقة الحساب'!$B$2,Y108*$AA108/الافتراضات!$B$27,$AB108='طريقة الحساب'!$B$3,Y108*$AA108/الافتراضات!$B$26,$AB108='طريقة الحساب'!$B$4,Y108*$AA108/الافتراضات!$B$28),"")</f>
        <v>8.0728105412276097E-2</v>
      </c>
      <c r="BE108" s="91" cm="1">
        <f t="array" ref="BE108">IFERROR(_xlfn.IFS($AB108="عدد الموظفين/الوحدة",Z108*$AA108,$AB108='طريقة الحساب'!$B$2,Z108*$AA108/الافتراضات!$B$27,$AB108='طريقة الحساب'!$B$3,Z108*$AA108/الافتراضات!$B$26,$AB108='طريقة الحساب'!$B$4,Z108*$AA108/الافتراضات!$B$28),"")</f>
        <v>0</v>
      </c>
      <c r="BF108" s="92"/>
    </row>
    <row r="109" spans="2:58" x14ac:dyDescent="0.35">
      <c r="B109" s="124" t="s">
        <v>87</v>
      </c>
      <c r="C109" s="131" t="s">
        <v>88</v>
      </c>
      <c r="D109" s="131" t="s">
        <v>90</v>
      </c>
      <c r="E109" s="138" t="s">
        <v>92</v>
      </c>
      <c r="F109" s="125" t="s">
        <v>191</v>
      </c>
      <c r="G109" s="126" t="s">
        <v>84</v>
      </c>
      <c r="H109" s="127"/>
      <c r="I109" s="132">
        <v>96</v>
      </c>
      <c r="J109" s="133">
        <v>96</v>
      </c>
      <c r="K109" s="133">
        <v>96</v>
      </c>
      <c r="L109" s="133">
        <v>96</v>
      </c>
      <c r="M109" s="133">
        <v>96</v>
      </c>
      <c r="N109" s="133">
        <v>96</v>
      </c>
      <c r="O109" s="133">
        <v>96</v>
      </c>
      <c r="P109" s="139">
        <v>10</v>
      </c>
      <c r="Q109" s="134" t="s">
        <v>45</v>
      </c>
      <c r="R109" s="128"/>
      <c r="S109" s="135">
        <v>96</v>
      </c>
      <c r="T109" s="135">
        <v>96</v>
      </c>
      <c r="U109" s="135">
        <v>96</v>
      </c>
      <c r="V109" s="135">
        <v>96</v>
      </c>
      <c r="W109" s="135">
        <v>96</v>
      </c>
      <c r="X109" s="135">
        <v>96</v>
      </c>
      <c r="Y109" s="135">
        <v>96</v>
      </c>
      <c r="Z109" s="79"/>
      <c r="AA109" s="135">
        <v>10</v>
      </c>
      <c r="AB109" s="136" t="s">
        <v>45</v>
      </c>
      <c r="AC109" s="80"/>
      <c r="AD109" s="81"/>
      <c r="AE109" s="82"/>
      <c r="AF109" s="82"/>
      <c r="AG109" s="82"/>
      <c r="AH109" s="82"/>
      <c r="AI109" s="82"/>
      <c r="AJ109" s="82"/>
      <c r="AK109" s="82"/>
      <c r="AL109" s="82"/>
      <c r="AM109" s="83"/>
      <c r="AN109" s="83"/>
      <c r="AO109" s="84" t="str">
        <f t="shared" si="16"/>
        <v>لا</v>
      </c>
      <c r="AP109" s="85" t="str">
        <f t="shared" si="17"/>
        <v/>
      </c>
      <c r="AQ109" s="84" t="str">
        <f t="shared" si="18"/>
        <v>لا</v>
      </c>
      <c r="AR109" s="85" t="str">
        <f t="shared" si="19"/>
        <v/>
      </c>
      <c r="AS109" s="86" t="str">
        <f t="shared" si="20"/>
        <v>لا</v>
      </c>
      <c r="AT109" s="87" t="str">
        <f t="shared" si="21"/>
        <v/>
      </c>
      <c r="AU109" s="88"/>
      <c r="AV109" s="89"/>
      <c r="AW109" s="90"/>
      <c r="AX109" s="91" cm="1">
        <f t="array" ref="AX109">IFERROR(_xlfn.IFS($AB109="عدد الموظفين/الوحدة",S109*$AA109,$AB109='طريقة الحساب'!$B$2,S109*$AA109/الافتراضات!$B$27,$AB109='طريقة الحساب'!$B$3,S109*$AA109/الافتراضات!$B$26,$AB109='طريقة الحساب'!$B$4,S109*$AA109/الافتراضات!$B$28),"")</f>
        <v>1.6145621082455222E-2</v>
      </c>
      <c r="AY109" s="91" cm="1">
        <f t="array" ref="AY109">IFERROR(_xlfn.IFS($AB109="عدد الموظفين/الوحدة",T109*$AA109,$AB109='طريقة الحساب'!$B$2,T109*$AA109/الافتراضات!$B$27,$AB109='طريقة الحساب'!$B$3,T109*$AA109/الافتراضات!$B$26,$AB109='طريقة الحساب'!$B$4,T109*$AA109/الافتراضات!$B$28),"")</f>
        <v>1.6145621082455222E-2</v>
      </c>
      <c r="AZ109" s="91" cm="1">
        <f t="array" ref="AZ109">IFERROR(_xlfn.IFS($AB109="عدد الموظفين/الوحدة",U109*$AA109,$AB109='طريقة الحساب'!$B$2,U109*$AA109/الافتراضات!$B$27,$AB109='طريقة الحساب'!$B$3,U109*$AA109/الافتراضات!$B$26,$AB109='طريقة الحساب'!$B$4,U109*$AA109/الافتراضات!$B$28),"")</f>
        <v>1.6145621082455222E-2</v>
      </c>
      <c r="BA109" s="91" cm="1">
        <f t="array" ref="BA109">IFERROR(_xlfn.IFS($AB109="عدد الموظفين/الوحدة",V109*$AA109,$AB109='طريقة الحساب'!$B$2,V109*$AA109/الافتراضات!$B$27,$AB109='طريقة الحساب'!$B$3,V109*$AA109/الافتراضات!$B$26,$AB109='طريقة الحساب'!$B$4,V109*$AA109/الافتراضات!$B$28),"")</f>
        <v>1.6145621082455222E-2</v>
      </c>
      <c r="BB109" s="91" cm="1">
        <f t="array" ref="BB109">IFERROR(_xlfn.IFS($AB109="عدد الموظفين/الوحدة",W109*$AA109,$AB109='طريقة الحساب'!$B$2,W109*$AA109/الافتراضات!$B$27,$AB109='طريقة الحساب'!$B$3,W109*$AA109/الافتراضات!$B$26,$AB109='طريقة الحساب'!$B$4,W109*$AA109/الافتراضات!$B$28),"")</f>
        <v>1.6145621082455222E-2</v>
      </c>
      <c r="BC109" s="91" cm="1">
        <f t="array" ref="BC109">IFERROR(_xlfn.IFS($AB109="عدد الموظفين/الوحدة",X109*$AA109,$AB109='طريقة الحساب'!$B$2,X109*$AA109/الافتراضات!$B$27,$AB109='طريقة الحساب'!$B$3,X109*$AA109/الافتراضات!$B$26,$AB109='طريقة الحساب'!$B$4,X109*$AA109/الافتراضات!$B$28),"")</f>
        <v>1.6145621082455222E-2</v>
      </c>
      <c r="BD109" s="91" cm="1">
        <f t="array" ref="BD109">IFERROR(_xlfn.IFS($AB109="عدد الموظفين/الوحدة",Y109*$AA109,$AB109='طريقة الحساب'!$B$2,Y109*$AA109/الافتراضات!$B$27,$AB109='طريقة الحساب'!$B$3,Y109*$AA109/الافتراضات!$B$26,$AB109='طريقة الحساب'!$B$4,Y109*$AA109/الافتراضات!$B$28),"")</f>
        <v>1.6145621082455222E-2</v>
      </c>
      <c r="BE109" s="91" cm="1">
        <f t="array" ref="BE109">IFERROR(_xlfn.IFS($AB109="عدد الموظفين/الوحدة",Z109*$AA109,$AB109='طريقة الحساب'!$B$2,Z109*$AA109/الافتراضات!$B$27,$AB109='طريقة الحساب'!$B$3,Z109*$AA109/الافتراضات!$B$26,$AB109='طريقة الحساب'!$B$4,Z109*$AA109/الافتراضات!$B$28),"")</f>
        <v>0</v>
      </c>
      <c r="BF109" s="92"/>
    </row>
    <row r="110" spans="2:58" x14ac:dyDescent="0.35">
      <c r="B110" s="124" t="s">
        <v>87</v>
      </c>
      <c r="C110" s="131" t="s">
        <v>88</v>
      </c>
      <c r="D110" s="131" t="s">
        <v>90</v>
      </c>
      <c r="E110" s="138" t="s">
        <v>92</v>
      </c>
      <c r="F110" s="125" t="s">
        <v>192</v>
      </c>
      <c r="G110" s="126" t="s">
        <v>84</v>
      </c>
      <c r="H110" s="127"/>
      <c r="I110" s="132">
        <v>4800</v>
      </c>
      <c r="J110" s="133">
        <v>4800</v>
      </c>
      <c r="K110" s="133">
        <v>4800</v>
      </c>
      <c r="L110" s="133">
        <v>4800</v>
      </c>
      <c r="M110" s="133">
        <v>4800</v>
      </c>
      <c r="N110" s="133">
        <v>4800</v>
      </c>
      <c r="O110" s="133">
        <v>4800</v>
      </c>
      <c r="P110" s="139">
        <v>30</v>
      </c>
      <c r="Q110" s="134" t="s">
        <v>45</v>
      </c>
      <c r="R110" s="128"/>
      <c r="S110" s="135">
        <v>4800</v>
      </c>
      <c r="T110" s="135">
        <v>4800</v>
      </c>
      <c r="U110" s="135">
        <v>4800</v>
      </c>
      <c r="V110" s="135">
        <v>4800</v>
      </c>
      <c r="W110" s="135">
        <v>4800</v>
      </c>
      <c r="X110" s="135">
        <v>4800</v>
      </c>
      <c r="Y110" s="135">
        <v>4800</v>
      </c>
      <c r="Z110" s="79"/>
      <c r="AA110" s="135">
        <v>30</v>
      </c>
      <c r="AB110" s="136" t="s">
        <v>45</v>
      </c>
      <c r="AC110" s="80"/>
      <c r="AD110" s="81"/>
      <c r="AE110" s="82"/>
      <c r="AF110" s="82"/>
      <c r="AG110" s="82"/>
      <c r="AH110" s="82"/>
      <c r="AI110" s="82"/>
      <c r="AJ110" s="82"/>
      <c r="AK110" s="82"/>
      <c r="AL110" s="82"/>
      <c r="AM110" s="83"/>
      <c r="AN110" s="83"/>
      <c r="AO110" s="84" t="str">
        <f t="shared" si="16"/>
        <v>لا</v>
      </c>
      <c r="AP110" s="85" t="str">
        <f t="shared" si="17"/>
        <v/>
      </c>
      <c r="AQ110" s="84" t="str">
        <f t="shared" si="18"/>
        <v>لا</v>
      </c>
      <c r="AR110" s="85" t="str">
        <f t="shared" si="19"/>
        <v/>
      </c>
      <c r="AS110" s="86" t="str">
        <f t="shared" si="20"/>
        <v>لا</v>
      </c>
      <c r="AT110" s="87" t="str">
        <f t="shared" si="21"/>
        <v/>
      </c>
      <c r="AU110" s="88"/>
      <c r="AV110" s="89"/>
      <c r="AW110" s="90"/>
      <c r="AX110" s="91" cm="1">
        <f t="array" ref="AX110">IFERROR(_xlfn.IFS($AB110="عدد الموظفين/الوحدة",S110*$AA110,$AB110='طريقة الحساب'!$B$2,S110*$AA110/الافتراضات!$B$27,$AB110='طريقة الحساب'!$B$3,S110*$AA110/الافتراضات!$B$26,$AB110='طريقة الحساب'!$B$4,S110*$AA110/الافتراضات!$B$28),"")</f>
        <v>2.4218431623682832</v>
      </c>
      <c r="AY110" s="91" cm="1">
        <f t="array" ref="AY110">IFERROR(_xlfn.IFS($AB110="عدد الموظفين/الوحدة",T110*$AA110,$AB110='طريقة الحساب'!$B$2,T110*$AA110/الافتراضات!$B$27,$AB110='طريقة الحساب'!$B$3,T110*$AA110/الافتراضات!$B$26,$AB110='طريقة الحساب'!$B$4,T110*$AA110/الافتراضات!$B$28),"")</f>
        <v>2.4218431623682832</v>
      </c>
      <c r="AZ110" s="91" cm="1">
        <f t="array" ref="AZ110">IFERROR(_xlfn.IFS($AB110="عدد الموظفين/الوحدة",U110*$AA110,$AB110='طريقة الحساب'!$B$2,U110*$AA110/الافتراضات!$B$27,$AB110='طريقة الحساب'!$B$3,U110*$AA110/الافتراضات!$B$26,$AB110='طريقة الحساب'!$B$4,U110*$AA110/الافتراضات!$B$28),"")</f>
        <v>2.4218431623682832</v>
      </c>
      <c r="BA110" s="91" cm="1">
        <f t="array" ref="BA110">IFERROR(_xlfn.IFS($AB110="عدد الموظفين/الوحدة",V110*$AA110,$AB110='طريقة الحساب'!$B$2,V110*$AA110/الافتراضات!$B$27,$AB110='طريقة الحساب'!$B$3,V110*$AA110/الافتراضات!$B$26,$AB110='طريقة الحساب'!$B$4,V110*$AA110/الافتراضات!$B$28),"")</f>
        <v>2.4218431623682832</v>
      </c>
      <c r="BB110" s="91" cm="1">
        <f t="array" ref="BB110">IFERROR(_xlfn.IFS($AB110="عدد الموظفين/الوحدة",W110*$AA110,$AB110='طريقة الحساب'!$B$2,W110*$AA110/الافتراضات!$B$27,$AB110='طريقة الحساب'!$B$3,W110*$AA110/الافتراضات!$B$26,$AB110='طريقة الحساب'!$B$4,W110*$AA110/الافتراضات!$B$28),"")</f>
        <v>2.4218431623682832</v>
      </c>
      <c r="BC110" s="91" cm="1">
        <f t="array" ref="BC110">IFERROR(_xlfn.IFS($AB110="عدد الموظفين/الوحدة",X110*$AA110,$AB110='طريقة الحساب'!$B$2,X110*$AA110/الافتراضات!$B$27,$AB110='طريقة الحساب'!$B$3,X110*$AA110/الافتراضات!$B$26,$AB110='طريقة الحساب'!$B$4,X110*$AA110/الافتراضات!$B$28),"")</f>
        <v>2.4218431623682832</v>
      </c>
      <c r="BD110" s="91" cm="1">
        <f t="array" ref="BD110">IFERROR(_xlfn.IFS($AB110="عدد الموظفين/الوحدة",Y110*$AA110,$AB110='طريقة الحساب'!$B$2,Y110*$AA110/الافتراضات!$B$27,$AB110='طريقة الحساب'!$B$3,Y110*$AA110/الافتراضات!$B$26,$AB110='طريقة الحساب'!$B$4,Y110*$AA110/الافتراضات!$B$28),"")</f>
        <v>2.4218431623682832</v>
      </c>
      <c r="BE110" s="91" cm="1">
        <f t="array" ref="BE110">IFERROR(_xlfn.IFS($AB110="عدد الموظفين/الوحدة",Z110*$AA110,$AB110='طريقة الحساب'!$B$2,Z110*$AA110/الافتراضات!$B$27,$AB110='طريقة الحساب'!$B$3,Z110*$AA110/الافتراضات!$B$26,$AB110='طريقة الحساب'!$B$4,Z110*$AA110/الافتراضات!$B$28),"")</f>
        <v>0</v>
      </c>
      <c r="BF110" s="92"/>
    </row>
    <row r="111" spans="2:58" x14ac:dyDescent="0.35">
      <c r="B111" s="124" t="s">
        <v>87</v>
      </c>
      <c r="C111" s="131" t="s">
        <v>88</v>
      </c>
      <c r="D111" s="131" t="s">
        <v>90</v>
      </c>
      <c r="E111" s="138" t="s">
        <v>92</v>
      </c>
      <c r="F111" s="125" t="s">
        <v>193</v>
      </c>
      <c r="G111" s="126" t="s">
        <v>84</v>
      </c>
      <c r="H111" s="127"/>
      <c r="I111" s="132">
        <v>96</v>
      </c>
      <c r="J111" s="133">
        <v>96</v>
      </c>
      <c r="K111" s="133">
        <v>96</v>
      </c>
      <c r="L111" s="133">
        <v>96</v>
      </c>
      <c r="M111" s="133">
        <v>96</v>
      </c>
      <c r="N111" s="133">
        <v>96</v>
      </c>
      <c r="O111" s="133">
        <v>96</v>
      </c>
      <c r="P111" s="139">
        <v>10</v>
      </c>
      <c r="Q111" s="134" t="s">
        <v>45</v>
      </c>
      <c r="R111" s="128"/>
      <c r="S111" s="135">
        <v>96</v>
      </c>
      <c r="T111" s="135">
        <v>96</v>
      </c>
      <c r="U111" s="135">
        <v>96</v>
      </c>
      <c r="V111" s="135">
        <v>96</v>
      </c>
      <c r="W111" s="135">
        <v>96</v>
      </c>
      <c r="X111" s="135">
        <v>96</v>
      </c>
      <c r="Y111" s="135">
        <v>96</v>
      </c>
      <c r="Z111" s="79"/>
      <c r="AA111" s="135">
        <v>10</v>
      </c>
      <c r="AB111" s="136" t="s">
        <v>45</v>
      </c>
      <c r="AC111" s="80"/>
      <c r="AD111" s="81"/>
      <c r="AE111" s="82"/>
      <c r="AF111" s="82"/>
      <c r="AG111" s="82"/>
      <c r="AH111" s="82"/>
      <c r="AI111" s="82"/>
      <c r="AJ111" s="82"/>
      <c r="AK111" s="82"/>
      <c r="AL111" s="82"/>
      <c r="AM111" s="83"/>
      <c r="AN111" s="83"/>
      <c r="AO111" s="84" t="str">
        <f t="shared" si="16"/>
        <v>لا</v>
      </c>
      <c r="AP111" s="85" t="str">
        <f t="shared" si="17"/>
        <v/>
      </c>
      <c r="AQ111" s="84" t="str">
        <f t="shared" si="18"/>
        <v>لا</v>
      </c>
      <c r="AR111" s="85" t="str">
        <f t="shared" si="19"/>
        <v/>
      </c>
      <c r="AS111" s="86" t="str">
        <f t="shared" si="20"/>
        <v>لا</v>
      </c>
      <c r="AT111" s="87" t="str">
        <f t="shared" si="21"/>
        <v/>
      </c>
      <c r="AU111" s="88"/>
      <c r="AV111" s="89"/>
      <c r="AW111" s="90"/>
      <c r="AX111" s="91" cm="1">
        <f t="array" ref="AX111">IFERROR(_xlfn.IFS($AB111="عدد الموظفين/الوحدة",S111*$AA111,$AB111='طريقة الحساب'!$B$2,S111*$AA111/الافتراضات!$B$27,$AB111='طريقة الحساب'!$B$3,S111*$AA111/الافتراضات!$B$26,$AB111='طريقة الحساب'!$B$4,S111*$AA111/الافتراضات!$B$28),"")</f>
        <v>1.6145621082455222E-2</v>
      </c>
      <c r="AY111" s="91" cm="1">
        <f t="array" ref="AY111">IFERROR(_xlfn.IFS($AB111="عدد الموظفين/الوحدة",T111*$AA111,$AB111='طريقة الحساب'!$B$2,T111*$AA111/الافتراضات!$B$27,$AB111='طريقة الحساب'!$B$3,T111*$AA111/الافتراضات!$B$26,$AB111='طريقة الحساب'!$B$4,T111*$AA111/الافتراضات!$B$28),"")</f>
        <v>1.6145621082455222E-2</v>
      </c>
      <c r="AZ111" s="91" cm="1">
        <f t="array" ref="AZ111">IFERROR(_xlfn.IFS($AB111="عدد الموظفين/الوحدة",U111*$AA111,$AB111='طريقة الحساب'!$B$2,U111*$AA111/الافتراضات!$B$27,$AB111='طريقة الحساب'!$B$3,U111*$AA111/الافتراضات!$B$26,$AB111='طريقة الحساب'!$B$4,U111*$AA111/الافتراضات!$B$28),"")</f>
        <v>1.6145621082455222E-2</v>
      </c>
      <c r="BA111" s="91" cm="1">
        <f t="array" ref="BA111">IFERROR(_xlfn.IFS($AB111="عدد الموظفين/الوحدة",V111*$AA111,$AB111='طريقة الحساب'!$B$2,V111*$AA111/الافتراضات!$B$27,$AB111='طريقة الحساب'!$B$3,V111*$AA111/الافتراضات!$B$26,$AB111='طريقة الحساب'!$B$4,V111*$AA111/الافتراضات!$B$28),"")</f>
        <v>1.6145621082455222E-2</v>
      </c>
      <c r="BB111" s="91" cm="1">
        <f t="array" ref="BB111">IFERROR(_xlfn.IFS($AB111="عدد الموظفين/الوحدة",W111*$AA111,$AB111='طريقة الحساب'!$B$2,W111*$AA111/الافتراضات!$B$27,$AB111='طريقة الحساب'!$B$3,W111*$AA111/الافتراضات!$B$26,$AB111='طريقة الحساب'!$B$4,W111*$AA111/الافتراضات!$B$28),"")</f>
        <v>1.6145621082455222E-2</v>
      </c>
      <c r="BC111" s="91" cm="1">
        <f t="array" ref="BC111">IFERROR(_xlfn.IFS($AB111="عدد الموظفين/الوحدة",X111*$AA111,$AB111='طريقة الحساب'!$B$2,X111*$AA111/الافتراضات!$B$27,$AB111='طريقة الحساب'!$B$3,X111*$AA111/الافتراضات!$B$26,$AB111='طريقة الحساب'!$B$4,X111*$AA111/الافتراضات!$B$28),"")</f>
        <v>1.6145621082455222E-2</v>
      </c>
      <c r="BD111" s="91" cm="1">
        <f t="array" ref="BD111">IFERROR(_xlfn.IFS($AB111="عدد الموظفين/الوحدة",Y111*$AA111,$AB111='طريقة الحساب'!$B$2,Y111*$AA111/الافتراضات!$B$27,$AB111='طريقة الحساب'!$B$3,Y111*$AA111/الافتراضات!$B$26,$AB111='طريقة الحساب'!$B$4,Y111*$AA111/الافتراضات!$B$28),"")</f>
        <v>1.6145621082455222E-2</v>
      </c>
      <c r="BE111" s="91" cm="1">
        <f t="array" ref="BE111">IFERROR(_xlfn.IFS($AB111="عدد الموظفين/الوحدة",Z111*$AA111,$AB111='طريقة الحساب'!$B$2,Z111*$AA111/الافتراضات!$B$27,$AB111='طريقة الحساب'!$B$3,Z111*$AA111/الافتراضات!$B$26,$AB111='طريقة الحساب'!$B$4,Z111*$AA111/الافتراضات!$B$28),"")</f>
        <v>0</v>
      </c>
      <c r="BF111" s="92"/>
    </row>
    <row r="112" spans="2:58" x14ac:dyDescent="0.35">
      <c r="B112" s="124" t="s">
        <v>87</v>
      </c>
      <c r="C112" s="131" t="s">
        <v>88</v>
      </c>
      <c r="D112" s="131" t="s">
        <v>90</v>
      </c>
      <c r="E112" s="138" t="s">
        <v>92</v>
      </c>
      <c r="F112" s="125" t="s">
        <v>194</v>
      </c>
      <c r="G112" s="126" t="s">
        <v>84</v>
      </c>
      <c r="H112" s="127"/>
      <c r="I112" s="132">
        <v>2400</v>
      </c>
      <c r="J112" s="133">
        <v>2400</v>
      </c>
      <c r="K112" s="133">
        <v>2400</v>
      </c>
      <c r="L112" s="133">
        <v>2400</v>
      </c>
      <c r="M112" s="133">
        <v>2400</v>
      </c>
      <c r="N112" s="133">
        <v>2400</v>
      </c>
      <c r="O112" s="133">
        <v>2400</v>
      </c>
      <c r="P112" s="139">
        <v>10</v>
      </c>
      <c r="Q112" s="134" t="s">
        <v>45</v>
      </c>
      <c r="R112" s="128"/>
      <c r="S112" s="135">
        <v>2400</v>
      </c>
      <c r="T112" s="135">
        <v>2400</v>
      </c>
      <c r="U112" s="135">
        <v>2400</v>
      </c>
      <c r="V112" s="135">
        <v>2400</v>
      </c>
      <c r="W112" s="135">
        <v>2400</v>
      </c>
      <c r="X112" s="135">
        <v>2400</v>
      </c>
      <c r="Y112" s="135">
        <v>2400</v>
      </c>
      <c r="Z112" s="79"/>
      <c r="AA112" s="135">
        <v>10</v>
      </c>
      <c r="AB112" s="136" t="s">
        <v>45</v>
      </c>
      <c r="AC112" s="80"/>
      <c r="AD112" s="81"/>
      <c r="AE112" s="82"/>
      <c r="AF112" s="82"/>
      <c r="AG112" s="82"/>
      <c r="AH112" s="82"/>
      <c r="AI112" s="82"/>
      <c r="AJ112" s="82"/>
      <c r="AK112" s="82"/>
      <c r="AL112" s="82"/>
      <c r="AM112" s="83"/>
      <c r="AN112" s="83"/>
      <c r="AO112" s="84" t="str">
        <f t="shared" si="16"/>
        <v>لا</v>
      </c>
      <c r="AP112" s="85" t="str">
        <f t="shared" si="17"/>
        <v/>
      </c>
      <c r="AQ112" s="84" t="str">
        <f t="shared" si="18"/>
        <v>لا</v>
      </c>
      <c r="AR112" s="85" t="str">
        <f t="shared" si="19"/>
        <v/>
      </c>
      <c r="AS112" s="86" t="str">
        <f t="shared" si="20"/>
        <v>لا</v>
      </c>
      <c r="AT112" s="87" t="str">
        <f t="shared" si="21"/>
        <v/>
      </c>
      <c r="AU112" s="88"/>
      <c r="AV112" s="89"/>
      <c r="AW112" s="90"/>
      <c r="AX112" s="91" cm="1">
        <f t="array" ref="AX112">IFERROR(_xlfn.IFS($AB112="عدد الموظفين/الوحدة",S112*$AA112,$AB112='طريقة الحساب'!$B$2,S112*$AA112/الافتراضات!$B$27,$AB112='طريقة الحساب'!$B$3,S112*$AA112/الافتراضات!$B$26,$AB112='طريقة الحساب'!$B$4,S112*$AA112/الافتراضات!$B$28),"")</f>
        <v>0.40364052706138054</v>
      </c>
      <c r="AY112" s="91" cm="1">
        <f t="array" ref="AY112">IFERROR(_xlfn.IFS($AB112="عدد الموظفين/الوحدة",T112*$AA112,$AB112='طريقة الحساب'!$B$2,T112*$AA112/الافتراضات!$B$27,$AB112='طريقة الحساب'!$B$3,T112*$AA112/الافتراضات!$B$26,$AB112='طريقة الحساب'!$B$4,T112*$AA112/الافتراضات!$B$28),"")</f>
        <v>0.40364052706138054</v>
      </c>
      <c r="AZ112" s="91" cm="1">
        <f t="array" ref="AZ112">IFERROR(_xlfn.IFS($AB112="عدد الموظفين/الوحدة",U112*$AA112,$AB112='طريقة الحساب'!$B$2,U112*$AA112/الافتراضات!$B$27,$AB112='طريقة الحساب'!$B$3,U112*$AA112/الافتراضات!$B$26,$AB112='طريقة الحساب'!$B$4,U112*$AA112/الافتراضات!$B$28),"")</f>
        <v>0.40364052706138054</v>
      </c>
      <c r="BA112" s="91" cm="1">
        <f t="array" ref="BA112">IFERROR(_xlfn.IFS($AB112="عدد الموظفين/الوحدة",V112*$AA112,$AB112='طريقة الحساب'!$B$2,V112*$AA112/الافتراضات!$B$27,$AB112='طريقة الحساب'!$B$3,V112*$AA112/الافتراضات!$B$26,$AB112='طريقة الحساب'!$B$4,V112*$AA112/الافتراضات!$B$28),"")</f>
        <v>0.40364052706138054</v>
      </c>
      <c r="BB112" s="91" cm="1">
        <f t="array" ref="BB112">IFERROR(_xlfn.IFS($AB112="عدد الموظفين/الوحدة",W112*$AA112,$AB112='طريقة الحساب'!$B$2,W112*$AA112/الافتراضات!$B$27,$AB112='طريقة الحساب'!$B$3,W112*$AA112/الافتراضات!$B$26,$AB112='طريقة الحساب'!$B$4,W112*$AA112/الافتراضات!$B$28),"")</f>
        <v>0.40364052706138054</v>
      </c>
      <c r="BC112" s="91" cm="1">
        <f t="array" ref="BC112">IFERROR(_xlfn.IFS($AB112="عدد الموظفين/الوحدة",X112*$AA112,$AB112='طريقة الحساب'!$B$2,X112*$AA112/الافتراضات!$B$27,$AB112='طريقة الحساب'!$B$3,X112*$AA112/الافتراضات!$B$26,$AB112='طريقة الحساب'!$B$4,X112*$AA112/الافتراضات!$B$28),"")</f>
        <v>0.40364052706138054</v>
      </c>
      <c r="BD112" s="91" cm="1">
        <f t="array" ref="BD112">IFERROR(_xlfn.IFS($AB112="عدد الموظفين/الوحدة",Y112*$AA112,$AB112='طريقة الحساب'!$B$2,Y112*$AA112/الافتراضات!$B$27,$AB112='طريقة الحساب'!$B$3,Y112*$AA112/الافتراضات!$B$26,$AB112='طريقة الحساب'!$B$4,Y112*$AA112/الافتراضات!$B$28),"")</f>
        <v>0.40364052706138054</v>
      </c>
      <c r="BE112" s="91" cm="1">
        <f t="array" ref="BE112">IFERROR(_xlfn.IFS($AB112="عدد الموظفين/الوحدة",Z112*$AA112,$AB112='طريقة الحساب'!$B$2,Z112*$AA112/الافتراضات!$B$27,$AB112='طريقة الحساب'!$B$3,Z112*$AA112/الافتراضات!$B$26,$AB112='طريقة الحساب'!$B$4,Z112*$AA112/الافتراضات!$B$28),"")</f>
        <v>0</v>
      </c>
      <c r="BF112" s="92"/>
    </row>
    <row r="113" spans="2:58" x14ac:dyDescent="0.35">
      <c r="B113" s="124" t="s">
        <v>87</v>
      </c>
      <c r="C113" s="131" t="s">
        <v>88</v>
      </c>
      <c r="D113" s="131" t="s">
        <v>90</v>
      </c>
      <c r="E113" s="138" t="s">
        <v>92</v>
      </c>
      <c r="F113" s="125" t="s">
        <v>195</v>
      </c>
      <c r="G113" s="126" t="s">
        <v>84</v>
      </c>
      <c r="H113" s="127"/>
      <c r="I113" s="132">
        <v>432</v>
      </c>
      <c r="J113" s="133">
        <v>432</v>
      </c>
      <c r="K113" s="133">
        <v>432</v>
      </c>
      <c r="L113" s="133">
        <v>432</v>
      </c>
      <c r="M113" s="133">
        <v>432</v>
      </c>
      <c r="N113" s="133">
        <v>432</v>
      </c>
      <c r="O113" s="133">
        <v>432</v>
      </c>
      <c r="P113" s="139">
        <v>2</v>
      </c>
      <c r="Q113" s="134" t="s">
        <v>46</v>
      </c>
      <c r="R113" s="128"/>
      <c r="S113" s="135">
        <v>432</v>
      </c>
      <c r="T113" s="135">
        <v>432</v>
      </c>
      <c r="U113" s="135">
        <v>432</v>
      </c>
      <c r="V113" s="135">
        <v>432</v>
      </c>
      <c r="W113" s="135">
        <v>432</v>
      </c>
      <c r="X113" s="135">
        <v>432</v>
      </c>
      <c r="Y113" s="135">
        <v>432</v>
      </c>
      <c r="Z113" s="79"/>
      <c r="AA113" s="135">
        <v>2</v>
      </c>
      <c r="AB113" s="136" t="s">
        <v>46</v>
      </c>
      <c r="AC113" s="80"/>
      <c r="AD113" s="81"/>
      <c r="AE113" s="82"/>
      <c r="AF113" s="82"/>
      <c r="AG113" s="82"/>
      <c r="AH113" s="82"/>
      <c r="AI113" s="82"/>
      <c r="AJ113" s="82"/>
      <c r="AK113" s="82"/>
      <c r="AL113" s="82"/>
      <c r="AM113" s="83"/>
      <c r="AN113" s="83"/>
      <c r="AO113" s="84" t="str">
        <f t="shared" si="16"/>
        <v>لا</v>
      </c>
      <c r="AP113" s="85" t="str">
        <f t="shared" si="17"/>
        <v/>
      </c>
      <c r="AQ113" s="84" t="str">
        <f t="shared" si="18"/>
        <v>لا</v>
      </c>
      <c r="AR113" s="85" t="str">
        <f t="shared" si="19"/>
        <v/>
      </c>
      <c r="AS113" s="86" t="str">
        <f t="shared" si="20"/>
        <v>لا</v>
      </c>
      <c r="AT113" s="87" t="str">
        <f t="shared" si="21"/>
        <v/>
      </c>
      <c r="AU113" s="88"/>
      <c r="AV113" s="89"/>
      <c r="AW113" s="90"/>
      <c r="AX113" s="91" cm="1">
        <f t="array" ref="AX113">IFERROR(_xlfn.IFS($AB113="عدد الموظفين/الوحدة",S113*$AA113,$AB113='طريقة الحساب'!$B$2,S113*$AA113/الافتراضات!$B$27,$AB113='طريقة الحساب'!$B$3,S113*$AA113/الافتراضات!$B$26,$AB113='طريقة الحساب'!$B$4,S113*$AA113/الافتراضات!$B$28),"")</f>
        <v>4.4766839378238341</v>
      </c>
      <c r="AY113" s="91" cm="1">
        <f t="array" ref="AY113">IFERROR(_xlfn.IFS($AB113="عدد الموظفين/الوحدة",T113*$AA113,$AB113='طريقة الحساب'!$B$2,T113*$AA113/الافتراضات!$B$27,$AB113='طريقة الحساب'!$B$3,T113*$AA113/الافتراضات!$B$26,$AB113='طريقة الحساب'!$B$4,T113*$AA113/الافتراضات!$B$28),"")</f>
        <v>4.4766839378238341</v>
      </c>
      <c r="AZ113" s="91" cm="1">
        <f t="array" ref="AZ113">IFERROR(_xlfn.IFS($AB113="عدد الموظفين/الوحدة",U113*$AA113,$AB113='طريقة الحساب'!$B$2,U113*$AA113/الافتراضات!$B$27,$AB113='طريقة الحساب'!$B$3,U113*$AA113/الافتراضات!$B$26,$AB113='طريقة الحساب'!$B$4,U113*$AA113/الافتراضات!$B$28),"")</f>
        <v>4.4766839378238341</v>
      </c>
      <c r="BA113" s="91" cm="1">
        <f t="array" ref="BA113">IFERROR(_xlfn.IFS($AB113="عدد الموظفين/الوحدة",V113*$AA113,$AB113='طريقة الحساب'!$B$2,V113*$AA113/الافتراضات!$B$27,$AB113='طريقة الحساب'!$B$3,V113*$AA113/الافتراضات!$B$26,$AB113='طريقة الحساب'!$B$4,V113*$AA113/الافتراضات!$B$28),"")</f>
        <v>4.4766839378238341</v>
      </c>
      <c r="BB113" s="91" cm="1">
        <f t="array" ref="BB113">IFERROR(_xlfn.IFS($AB113="عدد الموظفين/الوحدة",W113*$AA113,$AB113='طريقة الحساب'!$B$2,W113*$AA113/الافتراضات!$B$27,$AB113='طريقة الحساب'!$B$3,W113*$AA113/الافتراضات!$B$26,$AB113='طريقة الحساب'!$B$4,W113*$AA113/الافتراضات!$B$28),"")</f>
        <v>4.4766839378238341</v>
      </c>
      <c r="BC113" s="91" cm="1">
        <f t="array" ref="BC113">IFERROR(_xlfn.IFS($AB113="عدد الموظفين/الوحدة",X113*$AA113,$AB113='طريقة الحساب'!$B$2,X113*$AA113/الافتراضات!$B$27,$AB113='طريقة الحساب'!$B$3,X113*$AA113/الافتراضات!$B$26,$AB113='طريقة الحساب'!$B$4,X113*$AA113/الافتراضات!$B$28),"")</f>
        <v>4.4766839378238341</v>
      </c>
      <c r="BD113" s="91" cm="1">
        <f t="array" ref="BD113">IFERROR(_xlfn.IFS($AB113="عدد الموظفين/الوحدة",Y113*$AA113,$AB113='طريقة الحساب'!$B$2,Y113*$AA113/الافتراضات!$B$27,$AB113='طريقة الحساب'!$B$3,Y113*$AA113/الافتراضات!$B$26,$AB113='طريقة الحساب'!$B$4,Y113*$AA113/الافتراضات!$B$28),"")</f>
        <v>4.4766839378238341</v>
      </c>
      <c r="BE113" s="91" cm="1">
        <f t="array" ref="BE113">IFERROR(_xlfn.IFS($AB113="عدد الموظفين/الوحدة",Z113*$AA113,$AB113='طريقة الحساب'!$B$2,Z113*$AA113/الافتراضات!$B$27,$AB113='طريقة الحساب'!$B$3,Z113*$AA113/الافتراضات!$B$26,$AB113='طريقة الحساب'!$B$4,Z113*$AA113/الافتراضات!$B$28),"")</f>
        <v>0</v>
      </c>
      <c r="BF113" s="92"/>
    </row>
    <row r="114" spans="2:58" x14ac:dyDescent="0.35">
      <c r="B114" s="124" t="s">
        <v>87</v>
      </c>
      <c r="C114" s="131" t="s">
        <v>88</v>
      </c>
      <c r="D114" s="131" t="s">
        <v>90</v>
      </c>
      <c r="E114" s="138" t="s">
        <v>92</v>
      </c>
      <c r="F114" s="125" t="s">
        <v>196</v>
      </c>
      <c r="G114" s="126" t="s">
        <v>84</v>
      </c>
      <c r="H114" s="127"/>
      <c r="I114" s="132">
        <v>280</v>
      </c>
      <c r="J114" s="133">
        <v>280</v>
      </c>
      <c r="K114" s="133">
        <v>280</v>
      </c>
      <c r="L114" s="133">
        <v>280</v>
      </c>
      <c r="M114" s="133">
        <v>280</v>
      </c>
      <c r="N114" s="133">
        <v>280</v>
      </c>
      <c r="O114" s="133">
        <v>280</v>
      </c>
      <c r="P114" s="139">
        <v>1</v>
      </c>
      <c r="Q114" s="134" t="s">
        <v>46</v>
      </c>
      <c r="R114" s="128"/>
      <c r="S114" s="135">
        <v>280</v>
      </c>
      <c r="T114" s="135">
        <v>280</v>
      </c>
      <c r="U114" s="135">
        <v>280</v>
      </c>
      <c r="V114" s="135">
        <v>280</v>
      </c>
      <c r="W114" s="135">
        <v>280</v>
      </c>
      <c r="X114" s="135">
        <v>280</v>
      </c>
      <c r="Y114" s="135">
        <v>280</v>
      </c>
      <c r="Z114" s="79"/>
      <c r="AA114" s="135">
        <v>1</v>
      </c>
      <c r="AB114" s="136" t="s">
        <v>46</v>
      </c>
      <c r="AC114" s="80"/>
      <c r="AD114" s="81"/>
      <c r="AE114" s="82"/>
      <c r="AF114" s="82"/>
      <c r="AG114" s="82"/>
      <c r="AH114" s="82"/>
      <c r="AI114" s="82"/>
      <c r="AJ114" s="82"/>
      <c r="AK114" s="82"/>
      <c r="AL114" s="82"/>
      <c r="AM114" s="83"/>
      <c r="AN114" s="83"/>
      <c r="AO114" s="84" t="str">
        <f t="shared" si="16"/>
        <v>لا</v>
      </c>
      <c r="AP114" s="85" t="str">
        <f t="shared" si="17"/>
        <v/>
      </c>
      <c r="AQ114" s="84" t="str">
        <f t="shared" si="18"/>
        <v>لا</v>
      </c>
      <c r="AR114" s="85" t="str">
        <f t="shared" si="19"/>
        <v/>
      </c>
      <c r="AS114" s="86" t="str">
        <f t="shared" si="20"/>
        <v>لا</v>
      </c>
      <c r="AT114" s="87" t="str">
        <f t="shared" si="21"/>
        <v/>
      </c>
      <c r="AU114" s="88"/>
      <c r="AV114" s="89"/>
      <c r="AW114" s="90"/>
      <c r="AX114" s="91" cm="1">
        <f t="array" ref="AX114">IFERROR(_xlfn.IFS($AB114="عدد الموظفين/الوحدة",S114*$AA114,$AB114='طريقة الحساب'!$B$2,S114*$AA114/الافتراضات!$B$27,$AB114='طريقة الحساب'!$B$3,S114*$AA114/الافتراضات!$B$26,$AB114='طريقة الحساب'!$B$4,S114*$AA114/الافتراضات!$B$28),"")</f>
        <v>1.4507772020725389</v>
      </c>
      <c r="AY114" s="91" cm="1">
        <f t="array" ref="AY114">IFERROR(_xlfn.IFS($AB114="عدد الموظفين/الوحدة",T114*$AA114,$AB114='طريقة الحساب'!$B$2,T114*$AA114/الافتراضات!$B$27,$AB114='طريقة الحساب'!$B$3,T114*$AA114/الافتراضات!$B$26,$AB114='طريقة الحساب'!$B$4,T114*$AA114/الافتراضات!$B$28),"")</f>
        <v>1.4507772020725389</v>
      </c>
      <c r="AZ114" s="91" cm="1">
        <f t="array" ref="AZ114">IFERROR(_xlfn.IFS($AB114="عدد الموظفين/الوحدة",U114*$AA114,$AB114='طريقة الحساب'!$B$2,U114*$AA114/الافتراضات!$B$27,$AB114='طريقة الحساب'!$B$3,U114*$AA114/الافتراضات!$B$26,$AB114='طريقة الحساب'!$B$4,U114*$AA114/الافتراضات!$B$28),"")</f>
        <v>1.4507772020725389</v>
      </c>
      <c r="BA114" s="91" cm="1">
        <f t="array" ref="BA114">IFERROR(_xlfn.IFS($AB114="عدد الموظفين/الوحدة",V114*$AA114,$AB114='طريقة الحساب'!$B$2,V114*$AA114/الافتراضات!$B$27,$AB114='طريقة الحساب'!$B$3,V114*$AA114/الافتراضات!$B$26,$AB114='طريقة الحساب'!$B$4,V114*$AA114/الافتراضات!$B$28),"")</f>
        <v>1.4507772020725389</v>
      </c>
      <c r="BB114" s="91" cm="1">
        <f t="array" ref="BB114">IFERROR(_xlfn.IFS($AB114="عدد الموظفين/الوحدة",W114*$AA114,$AB114='طريقة الحساب'!$B$2,W114*$AA114/الافتراضات!$B$27,$AB114='طريقة الحساب'!$B$3,W114*$AA114/الافتراضات!$B$26,$AB114='طريقة الحساب'!$B$4,W114*$AA114/الافتراضات!$B$28),"")</f>
        <v>1.4507772020725389</v>
      </c>
      <c r="BC114" s="91" cm="1">
        <f t="array" ref="BC114">IFERROR(_xlfn.IFS($AB114="عدد الموظفين/الوحدة",X114*$AA114,$AB114='طريقة الحساب'!$B$2,X114*$AA114/الافتراضات!$B$27,$AB114='طريقة الحساب'!$B$3,X114*$AA114/الافتراضات!$B$26,$AB114='طريقة الحساب'!$B$4,X114*$AA114/الافتراضات!$B$28),"")</f>
        <v>1.4507772020725389</v>
      </c>
      <c r="BD114" s="91" cm="1">
        <f t="array" ref="BD114">IFERROR(_xlfn.IFS($AB114="عدد الموظفين/الوحدة",Y114*$AA114,$AB114='طريقة الحساب'!$B$2,Y114*$AA114/الافتراضات!$B$27,$AB114='طريقة الحساب'!$B$3,Y114*$AA114/الافتراضات!$B$26,$AB114='طريقة الحساب'!$B$4,Y114*$AA114/الافتراضات!$B$28),"")</f>
        <v>1.4507772020725389</v>
      </c>
      <c r="BE114" s="91" cm="1">
        <f t="array" ref="BE114">IFERROR(_xlfn.IFS($AB114="عدد الموظفين/الوحدة",Z114*$AA114,$AB114='طريقة الحساب'!$B$2,Z114*$AA114/الافتراضات!$B$27,$AB114='طريقة الحساب'!$B$3,Z114*$AA114/الافتراضات!$B$26,$AB114='طريقة الحساب'!$B$4,Z114*$AA114/الافتراضات!$B$28),"")</f>
        <v>0</v>
      </c>
      <c r="BF114" s="92"/>
    </row>
    <row r="115" spans="2:58" x14ac:dyDescent="0.35">
      <c r="B115" s="124" t="s">
        <v>87</v>
      </c>
      <c r="C115" s="131" t="s">
        <v>88</v>
      </c>
      <c r="D115" s="131" t="s">
        <v>90</v>
      </c>
      <c r="E115" s="138" t="s">
        <v>92</v>
      </c>
      <c r="F115" s="125" t="s">
        <v>197</v>
      </c>
      <c r="G115" s="126" t="s">
        <v>84</v>
      </c>
      <c r="H115" s="127"/>
      <c r="I115" s="132">
        <v>48</v>
      </c>
      <c r="J115" s="133">
        <v>48</v>
      </c>
      <c r="K115" s="133">
        <v>48</v>
      </c>
      <c r="L115" s="133">
        <v>48</v>
      </c>
      <c r="M115" s="133">
        <v>48</v>
      </c>
      <c r="N115" s="133">
        <v>48</v>
      </c>
      <c r="O115" s="133">
        <v>48</v>
      </c>
      <c r="P115" s="139">
        <v>30</v>
      </c>
      <c r="Q115" s="134" t="s">
        <v>32</v>
      </c>
      <c r="R115" s="128"/>
      <c r="S115" s="135">
        <v>48</v>
      </c>
      <c r="T115" s="135">
        <v>48</v>
      </c>
      <c r="U115" s="135">
        <v>48</v>
      </c>
      <c r="V115" s="135">
        <v>48</v>
      </c>
      <c r="W115" s="135">
        <v>48</v>
      </c>
      <c r="X115" s="135">
        <v>48</v>
      </c>
      <c r="Y115" s="135">
        <v>48</v>
      </c>
      <c r="Z115" s="79"/>
      <c r="AA115" s="135">
        <v>30</v>
      </c>
      <c r="AB115" s="136" t="s">
        <v>32</v>
      </c>
      <c r="AC115" s="80"/>
      <c r="AD115" s="81"/>
      <c r="AE115" s="82"/>
      <c r="AF115" s="82"/>
      <c r="AG115" s="82"/>
      <c r="AH115" s="82"/>
      <c r="AI115" s="82"/>
      <c r="AJ115" s="82"/>
      <c r="AK115" s="82"/>
      <c r="AL115" s="82"/>
      <c r="AM115" s="83"/>
      <c r="AN115" s="83"/>
      <c r="AO115" s="84" t="str">
        <f t="shared" si="16"/>
        <v>لا</v>
      </c>
      <c r="AP115" s="85" t="str">
        <f t="shared" si="17"/>
        <v/>
      </c>
      <c r="AQ115" s="84" t="str">
        <f t="shared" si="18"/>
        <v>لا</v>
      </c>
      <c r="AR115" s="85" t="str">
        <f t="shared" si="19"/>
        <v/>
      </c>
      <c r="AS115" s="86" t="str">
        <f t="shared" si="20"/>
        <v>لا</v>
      </c>
      <c r="AT115" s="87" t="str">
        <f t="shared" si="21"/>
        <v/>
      </c>
      <c r="AU115" s="88"/>
      <c r="AV115" s="89"/>
      <c r="AW115" s="90"/>
      <c r="AX115" s="91" cm="1">
        <f t="array" ref="AX115">IFERROR(_xlfn.IFS($AB115="عدد الموظفين/الوحدة",S115*$AA115,$AB115='طريقة الحساب'!$B$2,S115*$AA115/الافتراضات!$B$27,$AB115='طريقة الحساب'!$B$3,S115*$AA115/الافتراضات!$B$26,$AB115='طريقة الحساب'!$B$4,S115*$AA115/الافتراضات!$B$28),"")</f>
        <v>1.4531058974209698</v>
      </c>
      <c r="AY115" s="91" cm="1">
        <f t="array" ref="AY115">IFERROR(_xlfn.IFS($AB115="عدد الموظفين/الوحدة",T115*$AA115,$AB115='طريقة الحساب'!$B$2,T115*$AA115/الافتراضات!$B$27,$AB115='طريقة الحساب'!$B$3,T115*$AA115/الافتراضات!$B$26,$AB115='طريقة الحساب'!$B$4,T115*$AA115/الافتراضات!$B$28),"")</f>
        <v>1.4531058974209698</v>
      </c>
      <c r="AZ115" s="91" cm="1">
        <f t="array" ref="AZ115">IFERROR(_xlfn.IFS($AB115="عدد الموظفين/الوحدة",U115*$AA115,$AB115='طريقة الحساب'!$B$2,U115*$AA115/الافتراضات!$B$27,$AB115='طريقة الحساب'!$B$3,U115*$AA115/الافتراضات!$B$26,$AB115='طريقة الحساب'!$B$4,U115*$AA115/الافتراضات!$B$28),"")</f>
        <v>1.4531058974209698</v>
      </c>
      <c r="BA115" s="91" cm="1">
        <f t="array" ref="BA115">IFERROR(_xlfn.IFS($AB115="عدد الموظفين/الوحدة",V115*$AA115,$AB115='طريقة الحساب'!$B$2,V115*$AA115/الافتراضات!$B$27,$AB115='طريقة الحساب'!$B$3,V115*$AA115/الافتراضات!$B$26,$AB115='طريقة الحساب'!$B$4,V115*$AA115/الافتراضات!$B$28),"")</f>
        <v>1.4531058974209698</v>
      </c>
      <c r="BB115" s="91" cm="1">
        <f t="array" ref="BB115">IFERROR(_xlfn.IFS($AB115="عدد الموظفين/الوحدة",W115*$AA115,$AB115='طريقة الحساب'!$B$2,W115*$AA115/الافتراضات!$B$27,$AB115='طريقة الحساب'!$B$3,W115*$AA115/الافتراضات!$B$26,$AB115='طريقة الحساب'!$B$4,W115*$AA115/الافتراضات!$B$28),"")</f>
        <v>1.4531058974209698</v>
      </c>
      <c r="BC115" s="91" cm="1">
        <f t="array" ref="BC115">IFERROR(_xlfn.IFS($AB115="عدد الموظفين/الوحدة",X115*$AA115,$AB115='طريقة الحساب'!$B$2,X115*$AA115/الافتراضات!$B$27,$AB115='طريقة الحساب'!$B$3,X115*$AA115/الافتراضات!$B$26,$AB115='طريقة الحساب'!$B$4,X115*$AA115/الافتراضات!$B$28),"")</f>
        <v>1.4531058974209698</v>
      </c>
      <c r="BD115" s="91" cm="1">
        <f t="array" ref="BD115">IFERROR(_xlfn.IFS($AB115="عدد الموظفين/الوحدة",Y115*$AA115,$AB115='طريقة الحساب'!$B$2,Y115*$AA115/الافتراضات!$B$27,$AB115='طريقة الحساب'!$B$3,Y115*$AA115/الافتراضات!$B$26,$AB115='طريقة الحساب'!$B$4,Y115*$AA115/الافتراضات!$B$28),"")</f>
        <v>1.4531058974209698</v>
      </c>
      <c r="BE115" s="91" cm="1">
        <f t="array" ref="BE115">IFERROR(_xlfn.IFS($AB115="عدد الموظفين/الوحدة",Z115*$AA115,$AB115='طريقة الحساب'!$B$2,Z115*$AA115/الافتراضات!$B$27,$AB115='طريقة الحساب'!$B$3,Z115*$AA115/الافتراضات!$B$26,$AB115='طريقة الحساب'!$B$4,Z115*$AA115/الافتراضات!$B$28),"")</f>
        <v>0</v>
      </c>
      <c r="BF115" s="92"/>
    </row>
    <row r="116" spans="2:58" x14ac:dyDescent="0.35">
      <c r="B116" s="124" t="s">
        <v>87</v>
      </c>
      <c r="C116" s="131" t="s">
        <v>88</v>
      </c>
      <c r="D116" s="131" t="s">
        <v>90</v>
      </c>
      <c r="E116" s="138" t="s">
        <v>92</v>
      </c>
      <c r="F116" s="125" t="s">
        <v>198</v>
      </c>
      <c r="G116" s="126" t="s">
        <v>84</v>
      </c>
      <c r="H116" s="127"/>
      <c r="I116" s="132">
        <v>96</v>
      </c>
      <c r="J116" s="133">
        <v>96</v>
      </c>
      <c r="K116" s="133">
        <v>96</v>
      </c>
      <c r="L116" s="133">
        <v>96</v>
      </c>
      <c r="M116" s="133">
        <v>96</v>
      </c>
      <c r="N116" s="133">
        <v>96</v>
      </c>
      <c r="O116" s="133">
        <v>96</v>
      </c>
      <c r="P116" s="139">
        <v>1</v>
      </c>
      <c r="Q116" s="134" t="s">
        <v>46</v>
      </c>
      <c r="R116" s="128"/>
      <c r="S116" s="135">
        <v>96</v>
      </c>
      <c r="T116" s="135">
        <v>96</v>
      </c>
      <c r="U116" s="135">
        <v>96</v>
      </c>
      <c r="V116" s="135">
        <v>96</v>
      </c>
      <c r="W116" s="135">
        <v>96</v>
      </c>
      <c r="X116" s="135">
        <v>96</v>
      </c>
      <c r="Y116" s="135">
        <v>96</v>
      </c>
      <c r="Z116" s="79"/>
      <c r="AA116" s="135">
        <v>1</v>
      </c>
      <c r="AB116" s="136" t="s">
        <v>46</v>
      </c>
      <c r="AC116" s="80"/>
      <c r="AD116" s="81"/>
      <c r="AE116" s="82"/>
      <c r="AF116" s="82"/>
      <c r="AG116" s="82"/>
      <c r="AH116" s="82"/>
      <c r="AI116" s="82"/>
      <c r="AJ116" s="82"/>
      <c r="AK116" s="82"/>
      <c r="AL116" s="82"/>
      <c r="AM116" s="83"/>
      <c r="AN116" s="83"/>
      <c r="AO116" s="84" t="str">
        <f t="shared" si="16"/>
        <v>لا</v>
      </c>
      <c r="AP116" s="85" t="str">
        <f t="shared" si="17"/>
        <v/>
      </c>
      <c r="AQ116" s="84" t="str">
        <f t="shared" si="18"/>
        <v>لا</v>
      </c>
      <c r="AR116" s="85" t="str">
        <f t="shared" si="19"/>
        <v/>
      </c>
      <c r="AS116" s="86" t="str">
        <f t="shared" si="20"/>
        <v>لا</v>
      </c>
      <c r="AT116" s="87" t="str">
        <f t="shared" si="21"/>
        <v/>
      </c>
      <c r="AU116" s="88"/>
      <c r="AV116" s="89"/>
      <c r="AW116" s="90"/>
      <c r="AX116" s="91" cm="1">
        <f t="array" ref="AX116">IFERROR(_xlfn.IFS($AB116="عدد الموظفين/الوحدة",S116*$AA116,$AB116='طريقة الحساب'!$B$2,S116*$AA116/الافتراضات!$B$27,$AB116='طريقة الحساب'!$B$3,S116*$AA116/الافتراضات!$B$26,$AB116='طريقة الحساب'!$B$4,S116*$AA116/الافتراضات!$B$28),"")</f>
        <v>0.49740932642487046</v>
      </c>
      <c r="AY116" s="91" cm="1">
        <f t="array" ref="AY116">IFERROR(_xlfn.IFS($AB116="عدد الموظفين/الوحدة",T116*$AA116,$AB116='طريقة الحساب'!$B$2,T116*$AA116/الافتراضات!$B$27,$AB116='طريقة الحساب'!$B$3,T116*$AA116/الافتراضات!$B$26,$AB116='طريقة الحساب'!$B$4,T116*$AA116/الافتراضات!$B$28),"")</f>
        <v>0.49740932642487046</v>
      </c>
      <c r="AZ116" s="91" cm="1">
        <f t="array" ref="AZ116">IFERROR(_xlfn.IFS($AB116="عدد الموظفين/الوحدة",U116*$AA116,$AB116='طريقة الحساب'!$B$2,U116*$AA116/الافتراضات!$B$27,$AB116='طريقة الحساب'!$B$3,U116*$AA116/الافتراضات!$B$26,$AB116='طريقة الحساب'!$B$4,U116*$AA116/الافتراضات!$B$28),"")</f>
        <v>0.49740932642487046</v>
      </c>
      <c r="BA116" s="91" cm="1">
        <f t="array" ref="BA116">IFERROR(_xlfn.IFS($AB116="عدد الموظفين/الوحدة",V116*$AA116,$AB116='طريقة الحساب'!$B$2,V116*$AA116/الافتراضات!$B$27,$AB116='طريقة الحساب'!$B$3,V116*$AA116/الافتراضات!$B$26,$AB116='طريقة الحساب'!$B$4,V116*$AA116/الافتراضات!$B$28),"")</f>
        <v>0.49740932642487046</v>
      </c>
      <c r="BB116" s="91" cm="1">
        <f t="array" ref="BB116">IFERROR(_xlfn.IFS($AB116="عدد الموظفين/الوحدة",W116*$AA116,$AB116='طريقة الحساب'!$B$2,W116*$AA116/الافتراضات!$B$27,$AB116='طريقة الحساب'!$B$3,W116*$AA116/الافتراضات!$B$26,$AB116='طريقة الحساب'!$B$4,W116*$AA116/الافتراضات!$B$28),"")</f>
        <v>0.49740932642487046</v>
      </c>
      <c r="BC116" s="91" cm="1">
        <f t="array" ref="BC116">IFERROR(_xlfn.IFS($AB116="عدد الموظفين/الوحدة",X116*$AA116,$AB116='طريقة الحساب'!$B$2,X116*$AA116/الافتراضات!$B$27,$AB116='طريقة الحساب'!$B$3,X116*$AA116/الافتراضات!$B$26,$AB116='طريقة الحساب'!$B$4,X116*$AA116/الافتراضات!$B$28),"")</f>
        <v>0.49740932642487046</v>
      </c>
      <c r="BD116" s="91" cm="1">
        <f t="array" ref="BD116">IFERROR(_xlfn.IFS($AB116="عدد الموظفين/الوحدة",Y116*$AA116,$AB116='طريقة الحساب'!$B$2,Y116*$AA116/الافتراضات!$B$27,$AB116='طريقة الحساب'!$B$3,Y116*$AA116/الافتراضات!$B$26,$AB116='طريقة الحساب'!$B$4,Y116*$AA116/الافتراضات!$B$28),"")</f>
        <v>0.49740932642487046</v>
      </c>
      <c r="BE116" s="91" cm="1">
        <f t="array" ref="BE116">IFERROR(_xlfn.IFS($AB116="عدد الموظفين/الوحدة",Z116*$AA116,$AB116='طريقة الحساب'!$B$2,Z116*$AA116/الافتراضات!$B$27,$AB116='طريقة الحساب'!$B$3,Z116*$AA116/الافتراضات!$B$26,$AB116='طريقة الحساب'!$B$4,Z116*$AA116/الافتراضات!$B$28),"")</f>
        <v>0</v>
      </c>
      <c r="BF116" s="92"/>
    </row>
    <row r="117" spans="2:58" x14ac:dyDescent="0.35">
      <c r="B117" s="124" t="s">
        <v>87</v>
      </c>
      <c r="C117" s="131" t="s">
        <v>88</v>
      </c>
      <c r="D117" s="131" t="s">
        <v>90</v>
      </c>
      <c r="E117" s="138" t="s">
        <v>92</v>
      </c>
      <c r="F117" s="125" t="s">
        <v>199</v>
      </c>
      <c r="G117" s="126" t="s">
        <v>84</v>
      </c>
      <c r="H117" s="127"/>
      <c r="I117" s="132">
        <v>130</v>
      </c>
      <c r="J117" s="133">
        <v>130</v>
      </c>
      <c r="K117" s="133">
        <v>130</v>
      </c>
      <c r="L117" s="133">
        <v>130</v>
      </c>
      <c r="M117" s="133">
        <v>130</v>
      </c>
      <c r="N117" s="133">
        <v>130</v>
      </c>
      <c r="O117" s="133">
        <v>130</v>
      </c>
      <c r="P117" s="139">
        <v>4</v>
      </c>
      <c r="Q117" s="134" t="s">
        <v>32</v>
      </c>
      <c r="R117" s="128"/>
      <c r="S117" s="135">
        <v>130</v>
      </c>
      <c r="T117" s="135">
        <v>130</v>
      </c>
      <c r="U117" s="135">
        <v>130</v>
      </c>
      <c r="V117" s="135">
        <v>130</v>
      </c>
      <c r="W117" s="135">
        <v>130</v>
      </c>
      <c r="X117" s="135">
        <v>130</v>
      </c>
      <c r="Y117" s="135">
        <v>130</v>
      </c>
      <c r="Z117" s="79"/>
      <c r="AA117" s="135">
        <v>4</v>
      </c>
      <c r="AB117" s="136" t="s">
        <v>32</v>
      </c>
      <c r="AC117" s="80"/>
      <c r="AD117" s="81"/>
      <c r="AE117" s="82"/>
      <c r="AF117" s="82"/>
      <c r="AG117" s="82"/>
      <c r="AH117" s="82"/>
      <c r="AI117" s="82"/>
      <c r="AJ117" s="82"/>
      <c r="AK117" s="82"/>
      <c r="AL117" s="82"/>
      <c r="AM117" s="83"/>
      <c r="AN117" s="83"/>
      <c r="AO117" s="84" t="str">
        <f t="shared" si="16"/>
        <v>لا</v>
      </c>
      <c r="AP117" s="85" t="str">
        <f t="shared" si="17"/>
        <v/>
      </c>
      <c r="AQ117" s="84" t="str">
        <f t="shared" si="18"/>
        <v>لا</v>
      </c>
      <c r="AR117" s="85" t="str">
        <f t="shared" si="19"/>
        <v/>
      </c>
      <c r="AS117" s="86" t="str">
        <f t="shared" si="20"/>
        <v>لا</v>
      </c>
      <c r="AT117" s="87" t="str">
        <f t="shared" si="21"/>
        <v/>
      </c>
      <c r="AU117" s="88"/>
      <c r="AV117" s="89"/>
      <c r="AW117" s="90"/>
      <c r="AX117" s="91" cm="1">
        <f t="array" ref="AX117">IFERROR(_xlfn.IFS($AB117="عدد الموظفين/الوحدة",S117*$AA117,$AB117='طريقة الحساب'!$B$2,S117*$AA117/الافتراضات!$B$27,$AB117='طريقة الحساب'!$B$3,S117*$AA117/الافتراضات!$B$26,$AB117='طريقة الحساب'!$B$4,S117*$AA117/الافتراضات!$B$28),"")</f>
        <v>0.52473268517979466</v>
      </c>
      <c r="AY117" s="91" cm="1">
        <f t="array" ref="AY117">IFERROR(_xlfn.IFS($AB117="عدد الموظفين/الوحدة",T117*$AA117,$AB117='طريقة الحساب'!$B$2,T117*$AA117/الافتراضات!$B$27,$AB117='طريقة الحساب'!$B$3,T117*$AA117/الافتراضات!$B$26,$AB117='طريقة الحساب'!$B$4,T117*$AA117/الافتراضات!$B$28),"")</f>
        <v>0.52473268517979466</v>
      </c>
      <c r="AZ117" s="91" cm="1">
        <f t="array" ref="AZ117">IFERROR(_xlfn.IFS($AB117="عدد الموظفين/الوحدة",U117*$AA117,$AB117='طريقة الحساب'!$B$2,U117*$AA117/الافتراضات!$B$27,$AB117='طريقة الحساب'!$B$3,U117*$AA117/الافتراضات!$B$26,$AB117='طريقة الحساب'!$B$4,U117*$AA117/الافتراضات!$B$28),"")</f>
        <v>0.52473268517979466</v>
      </c>
      <c r="BA117" s="91" cm="1">
        <f t="array" ref="BA117">IFERROR(_xlfn.IFS($AB117="عدد الموظفين/الوحدة",V117*$AA117,$AB117='طريقة الحساب'!$B$2,V117*$AA117/الافتراضات!$B$27,$AB117='طريقة الحساب'!$B$3,V117*$AA117/الافتراضات!$B$26,$AB117='طريقة الحساب'!$B$4,V117*$AA117/الافتراضات!$B$28),"")</f>
        <v>0.52473268517979466</v>
      </c>
      <c r="BB117" s="91" cm="1">
        <f t="array" ref="BB117">IFERROR(_xlfn.IFS($AB117="عدد الموظفين/الوحدة",W117*$AA117,$AB117='طريقة الحساب'!$B$2,W117*$AA117/الافتراضات!$B$27,$AB117='طريقة الحساب'!$B$3,W117*$AA117/الافتراضات!$B$26,$AB117='طريقة الحساب'!$B$4,W117*$AA117/الافتراضات!$B$28),"")</f>
        <v>0.52473268517979466</v>
      </c>
      <c r="BC117" s="91" cm="1">
        <f t="array" ref="BC117">IFERROR(_xlfn.IFS($AB117="عدد الموظفين/الوحدة",X117*$AA117,$AB117='طريقة الحساب'!$B$2,X117*$AA117/الافتراضات!$B$27,$AB117='طريقة الحساب'!$B$3,X117*$AA117/الافتراضات!$B$26,$AB117='طريقة الحساب'!$B$4,X117*$AA117/الافتراضات!$B$28),"")</f>
        <v>0.52473268517979466</v>
      </c>
      <c r="BD117" s="91" cm="1">
        <f t="array" ref="BD117">IFERROR(_xlfn.IFS($AB117="عدد الموظفين/الوحدة",Y117*$AA117,$AB117='طريقة الحساب'!$B$2,Y117*$AA117/الافتراضات!$B$27,$AB117='طريقة الحساب'!$B$3,Y117*$AA117/الافتراضات!$B$26,$AB117='طريقة الحساب'!$B$4,Y117*$AA117/الافتراضات!$B$28),"")</f>
        <v>0.52473268517979466</v>
      </c>
      <c r="BE117" s="91" cm="1">
        <f t="array" ref="BE117">IFERROR(_xlfn.IFS($AB117="عدد الموظفين/الوحدة",Z117*$AA117,$AB117='طريقة الحساب'!$B$2,Z117*$AA117/الافتراضات!$B$27,$AB117='طريقة الحساب'!$B$3,Z117*$AA117/الافتراضات!$B$26,$AB117='طريقة الحساب'!$B$4,Z117*$AA117/الافتراضات!$B$28),"")</f>
        <v>0</v>
      </c>
      <c r="BF117" s="92"/>
    </row>
    <row r="118" spans="2:58" x14ac:dyDescent="0.35">
      <c r="B118" s="124" t="s">
        <v>87</v>
      </c>
      <c r="C118" s="131" t="s">
        <v>88</v>
      </c>
      <c r="D118" s="131" t="s">
        <v>90</v>
      </c>
      <c r="E118" s="138" t="s">
        <v>92</v>
      </c>
      <c r="F118" s="125" t="s">
        <v>200</v>
      </c>
      <c r="G118" s="126" t="s">
        <v>84</v>
      </c>
      <c r="H118" s="127"/>
      <c r="I118" s="132">
        <v>96</v>
      </c>
      <c r="J118" s="133">
        <v>96</v>
      </c>
      <c r="K118" s="133">
        <v>96</v>
      </c>
      <c r="L118" s="133">
        <v>96</v>
      </c>
      <c r="M118" s="133">
        <v>96</v>
      </c>
      <c r="N118" s="133">
        <v>96</v>
      </c>
      <c r="O118" s="133">
        <v>96</v>
      </c>
      <c r="P118" s="139">
        <v>15</v>
      </c>
      <c r="Q118" s="134" t="s">
        <v>45</v>
      </c>
      <c r="R118" s="128"/>
      <c r="S118" s="135">
        <v>96</v>
      </c>
      <c r="T118" s="135">
        <v>96</v>
      </c>
      <c r="U118" s="135">
        <v>96</v>
      </c>
      <c r="V118" s="135">
        <v>96</v>
      </c>
      <c r="W118" s="135">
        <v>96</v>
      </c>
      <c r="X118" s="135">
        <v>96</v>
      </c>
      <c r="Y118" s="135">
        <v>96</v>
      </c>
      <c r="Z118" s="79"/>
      <c r="AA118" s="135">
        <v>15</v>
      </c>
      <c r="AB118" s="136" t="s">
        <v>45</v>
      </c>
      <c r="AC118" s="80"/>
      <c r="AD118" s="81"/>
      <c r="AE118" s="82"/>
      <c r="AF118" s="82"/>
      <c r="AG118" s="82"/>
      <c r="AH118" s="82"/>
      <c r="AI118" s="82"/>
      <c r="AJ118" s="82"/>
      <c r="AK118" s="82"/>
      <c r="AL118" s="82"/>
      <c r="AM118" s="83"/>
      <c r="AN118" s="83"/>
      <c r="AO118" s="84" t="str">
        <f t="shared" si="16"/>
        <v>لا</v>
      </c>
      <c r="AP118" s="85" t="str">
        <f t="shared" si="17"/>
        <v/>
      </c>
      <c r="AQ118" s="84" t="str">
        <f t="shared" si="18"/>
        <v>لا</v>
      </c>
      <c r="AR118" s="85" t="str">
        <f t="shared" si="19"/>
        <v/>
      </c>
      <c r="AS118" s="86" t="str">
        <f t="shared" si="20"/>
        <v>لا</v>
      </c>
      <c r="AT118" s="87" t="str">
        <f t="shared" si="21"/>
        <v/>
      </c>
      <c r="AU118" s="88"/>
      <c r="AV118" s="89"/>
      <c r="AW118" s="90"/>
      <c r="AX118" s="91" cm="1">
        <f t="array" ref="AX118">IFERROR(_xlfn.IFS($AB118="عدد الموظفين/الوحدة",S118*$AA118,$AB118='طريقة الحساب'!$B$2,S118*$AA118/الافتراضات!$B$27,$AB118='طريقة الحساب'!$B$3,S118*$AA118/الافتراضات!$B$26,$AB118='طريقة الحساب'!$B$4,S118*$AA118/الافتراضات!$B$28),"")</f>
        <v>2.421843162368283E-2</v>
      </c>
      <c r="AY118" s="91" cm="1">
        <f t="array" ref="AY118">IFERROR(_xlfn.IFS($AB118="عدد الموظفين/الوحدة",T118*$AA118,$AB118='طريقة الحساب'!$B$2,T118*$AA118/الافتراضات!$B$27,$AB118='طريقة الحساب'!$B$3,T118*$AA118/الافتراضات!$B$26,$AB118='طريقة الحساب'!$B$4,T118*$AA118/الافتراضات!$B$28),"")</f>
        <v>2.421843162368283E-2</v>
      </c>
      <c r="AZ118" s="91" cm="1">
        <f t="array" ref="AZ118">IFERROR(_xlfn.IFS($AB118="عدد الموظفين/الوحدة",U118*$AA118,$AB118='طريقة الحساب'!$B$2,U118*$AA118/الافتراضات!$B$27,$AB118='طريقة الحساب'!$B$3,U118*$AA118/الافتراضات!$B$26,$AB118='طريقة الحساب'!$B$4,U118*$AA118/الافتراضات!$B$28),"")</f>
        <v>2.421843162368283E-2</v>
      </c>
      <c r="BA118" s="91" cm="1">
        <f t="array" ref="BA118">IFERROR(_xlfn.IFS($AB118="عدد الموظفين/الوحدة",V118*$AA118,$AB118='طريقة الحساب'!$B$2,V118*$AA118/الافتراضات!$B$27,$AB118='طريقة الحساب'!$B$3,V118*$AA118/الافتراضات!$B$26,$AB118='طريقة الحساب'!$B$4,V118*$AA118/الافتراضات!$B$28),"")</f>
        <v>2.421843162368283E-2</v>
      </c>
      <c r="BB118" s="91" cm="1">
        <f t="array" ref="BB118">IFERROR(_xlfn.IFS($AB118="عدد الموظفين/الوحدة",W118*$AA118,$AB118='طريقة الحساب'!$B$2,W118*$AA118/الافتراضات!$B$27,$AB118='طريقة الحساب'!$B$3,W118*$AA118/الافتراضات!$B$26,$AB118='طريقة الحساب'!$B$4,W118*$AA118/الافتراضات!$B$28),"")</f>
        <v>2.421843162368283E-2</v>
      </c>
      <c r="BC118" s="91" cm="1">
        <f t="array" ref="BC118">IFERROR(_xlfn.IFS($AB118="عدد الموظفين/الوحدة",X118*$AA118,$AB118='طريقة الحساب'!$B$2,X118*$AA118/الافتراضات!$B$27,$AB118='طريقة الحساب'!$B$3,X118*$AA118/الافتراضات!$B$26,$AB118='طريقة الحساب'!$B$4,X118*$AA118/الافتراضات!$B$28),"")</f>
        <v>2.421843162368283E-2</v>
      </c>
      <c r="BD118" s="91" cm="1">
        <f t="array" ref="BD118">IFERROR(_xlfn.IFS($AB118="عدد الموظفين/الوحدة",Y118*$AA118,$AB118='طريقة الحساب'!$B$2,Y118*$AA118/الافتراضات!$B$27,$AB118='طريقة الحساب'!$B$3,Y118*$AA118/الافتراضات!$B$26,$AB118='طريقة الحساب'!$B$4,Y118*$AA118/الافتراضات!$B$28),"")</f>
        <v>2.421843162368283E-2</v>
      </c>
      <c r="BE118" s="91" cm="1">
        <f t="array" ref="BE118">IFERROR(_xlfn.IFS($AB118="عدد الموظفين/الوحدة",Z118*$AA118,$AB118='طريقة الحساب'!$B$2,Z118*$AA118/الافتراضات!$B$27,$AB118='طريقة الحساب'!$B$3,Z118*$AA118/الافتراضات!$B$26,$AB118='طريقة الحساب'!$B$4,Z118*$AA118/الافتراضات!$B$28),"")</f>
        <v>0</v>
      </c>
      <c r="BF118" s="92"/>
    </row>
    <row r="119" spans="2:58" x14ac:dyDescent="0.35">
      <c r="B119" s="124" t="s">
        <v>87</v>
      </c>
      <c r="C119" s="131" t="s">
        <v>88</v>
      </c>
      <c r="D119" s="131" t="s">
        <v>90</v>
      </c>
      <c r="E119" s="138" t="s">
        <v>92</v>
      </c>
      <c r="F119" s="125" t="s">
        <v>201</v>
      </c>
      <c r="G119" s="126" t="s">
        <v>84</v>
      </c>
      <c r="H119" s="127"/>
      <c r="I119" s="132">
        <v>96</v>
      </c>
      <c r="J119" s="133">
        <v>96</v>
      </c>
      <c r="K119" s="133">
        <v>96</v>
      </c>
      <c r="L119" s="133">
        <v>96</v>
      </c>
      <c r="M119" s="133">
        <v>96</v>
      </c>
      <c r="N119" s="133">
        <v>96</v>
      </c>
      <c r="O119" s="133">
        <v>96</v>
      </c>
      <c r="P119" s="139">
        <v>15</v>
      </c>
      <c r="Q119" s="134" t="s">
        <v>45</v>
      </c>
      <c r="R119" s="128"/>
      <c r="S119" s="135">
        <v>96</v>
      </c>
      <c r="T119" s="135">
        <v>96</v>
      </c>
      <c r="U119" s="135">
        <v>96</v>
      </c>
      <c r="V119" s="135">
        <v>96</v>
      </c>
      <c r="W119" s="135">
        <v>96</v>
      </c>
      <c r="X119" s="135">
        <v>96</v>
      </c>
      <c r="Y119" s="135">
        <v>96</v>
      </c>
      <c r="Z119" s="79"/>
      <c r="AA119" s="135">
        <v>15</v>
      </c>
      <c r="AB119" s="136" t="s">
        <v>45</v>
      </c>
      <c r="AC119" s="80"/>
      <c r="AD119" s="81"/>
      <c r="AE119" s="82"/>
      <c r="AF119" s="82"/>
      <c r="AG119" s="82"/>
      <c r="AH119" s="82"/>
      <c r="AI119" s="82"/>
      <c r="AJ119" s="82"/>
      <c r="AK119" s="82"/>
      <c r="AL119" s="82"/>
      <c r="AM119" s="83"/>
      <c r="AN119" s="83"/>
      <c r="AO119" s="84" t="str">
        <f t="shared" si="16"/>
        <v>لا</v>
      </c>
      <c r="AP119" s="85" t="str">
        <f t="shared" si="17"/>
        <v/>
      </c>
      <c r="AQ119" s="84" t="str">
        <f t="shared" si="18"/>
        <v>لا</v>
      </c>
      <c r="AR119" s="85" t="str">
        <f t="shared" si="19"/>
        <v/>
      </c>
      <c r="AS119" s="86" t="str">
        <f t="shared" si="20"/>
        <v>لا</v>
      </c>
      <c r="AT119" s="87" t="str">
        <f t="shared" si="21"/>
        <v/>
      </c>
      <c r="AU119" s="88"/>
      <c r="AV119" s="89"/>
      <c r="AW119" s="90"/>
      <c r="AX119" s="91" cm="1">
        <f t="array" ref="AX119">IFERROR(_xlfn.IFS($AB119="عدد الموظفين/الوحدة",S119*$AA119,$AB119='طريقة الحساب'!$B$2,S119*$AA119/الافتراضات!$B$27,$AB119='طريقة الحساب'!$B$3,S119*$AA119/الافتراضات!$B$26,$AB119='طريقة الحساب'!$B$4,S119*$AA119/الافتراضات!$B$28),"")</f>
        <v>2.421843162368283E-2</v>
      </c>
      <c r="AY119" s="91" cm="1">
        <f t="array" ref="AY119">IFERROR(_xlfn.IFS($AB119="عدد الموظفين/الوحدة",T119*$AA119,$AB119='طريقة الحساب'!$B$2,T119*$AA119/الافتراضات!$B$27,$AB119='طريقة الحساب'!$B$3,T119*$AA119/الافتراضات!$B$26,$AB119='طريقة الحساب'!$B$4,T119*$AA119/الافتراضات!$B$28),"")</f>
        <v>2.421843162368283E-2</v>
      </c>
      <c r="AZ119" s="91" cm="1">
        <f t="array" ref="AZ119">IFERROR(_xlfn.IFS($AB119="عدد الموظفين/الوحدة",U119*$AA119,$AB119='طريقة الحساب'!$B$2,U119*$AA119/الافتراضات!$B$27,$AB119='طريقة الحساب'!$B$3,U119*$AA119/الافتراضات!$B$26,$AB119='طريقة الحساب'!$B$4,U119*$AA119/الافتراضات!$B$28),"")</f>
        <v>2.421843162368283E-2</v>
      </c>
      <c r="BA119" s="91" cm="1">
        <f t="array" ref="BA119">IFERROR(_xlfn.IFS($AB119="عدد الموظفين/الوحدة",V119*$AA119,$AB119='طريقة الحساب'!$B$2,V119*$AA119/الافتراضات!$B$27,$AB119='طريقة الحساب'!$B$3,V119*$AA119/الافتراضات!$B$26,$AB119='طريقة الحساب'!$B$4,V119*$AA119/الافتراضات!$B$28),"")</f>
        <v>2.421843162368283E-2</v>
      </c>
      <c r="BB119" s="91" cm="1">
        <f t="array" ref="BB119">IFERROR(_xlfn.IFS($AB119="عدد الموظفين/الوحدة",W119*$AA119,$AB119='طريقة الحساب'!$B$2,W119*$AA119/الافتراضات!$B$27,$AB119='طريقة الحساب'!$B$3,W119*$AA119/الافتراضات!$B$26,$AB119='طريقة الحساب'!$B$4,W119*$AA119/الافتراضات!$B$28),"")</f>
        <v>2.421843162368283E-2</v>
      </c>
      <c r="BC119" s="91" cm="1">
        <f t="array" ref="BC119">IFERROR(_xlfn.IFS($AB119="عدد الموظفين/الوحدة",X119*$AA119,$AB119='طريقة الحساب'!$B$2,X119*$AA119/الافتراضات!$B$27,$AB119='طريقة الحساب'!$B$3,X119*$AA119/الافتراضات!$B$26,$AB119='طريقة الحساب'!$B$4,X119*$AA119/الافتراضات!$B$28),"")</f>
        <v>2.421843162368283E-2</v>
      </c>
      <c r="BD119" s="91" cm="1">
        <f t="array" ref="BD119">IFERROR(_xlfn.IFS($AB119="عدد الموظفين/الوحدة",Y119*$AA119,$AB119='طريقة الحساب'!$B$2,Y119*$AA119/الافتراضات!$B$27,$AB119='طريقة الحساب'!$B$3,Y119*$AA119/الافتراضات!$B$26,$AB119='طريقة الحساب'!$B$4,Y119*$AA119/الافتراضات!$B$28),"")</f>
        <v>2.421843162368283E-2</v>
      </c>
      <c r="BE119" s="91" cm="1">
        <f t="array" ref="BE119">IFERROR(_xlfn.IFS($AB119="عدد الموظفين/الوحدة",Z119*$AA119,$AB119='طريقة الحساب'!$B$2,Z119*$AA119/الافتراضات!$B$27,$AB119='طريقة الحساب'!$B$3,Z119*$AA119/الافتراضات!$B$26,$AB119='طريقة الحساب'!$B$4,Z119*$AA119/الافتراضات!$B$28),"")</f>
        <v>0</v>
      </c>
      <c r="BF119" s="92"/>
    </row>
    <row r="120" spans="2:58" x14ac:dyDescent="0.35">
      <c r="B120" s="124" t="s">
        <v>87</v>
      </c>
      <c r="C120" s="131" t="s">
        <v>88</v>
      </c>
      <c r="D120" s="131" t="s">
        <v>90</v>
      </c>
      <c r="E120" s="138" t="s">
        <v>92</v>
      </c>
      <c r="F120" s="125" t="s">
        <v>202</v>
      </c>
      <c r="G120" s="126" t="s">
        <v>84</v>
      </c>
      <c r="H120" s="127"/>
      <c r="I120" s="132">
        <v>144</v>
      </c>
      <c r="J120" s="133">
        <v>144</v>
      </c>
      <c r="K120" s="133">
        <v>144</v>
      </c>
      <c r="L120" s="133">
        <v>144</v>
      </c>
      <c r="M120" s="133">
        <v>144</v>
      </c>
      <c r="N120" s="133">
        <v>144</v>
      </c>
      <c r="O120" s="133">
        <v>144</v>
      </c>
      <c r="P120" s="139">
        <v>2</v>
      </c>
      <c r="Q120" s="134" t="s">
        <v>32</v>
      </c>
      <c r="R120" s="128"/>
      <c r="S120" s="135">
        <v>144</v>
      </c>
      <c r="T120" s="135">
        <v>144</v>
      </c>
      <c r="U120" s="135">
        <v>144</v>
      </c>
      <c r="V120" s="135">
        <v>144</v>
      </c>
      <c r="W120" s="135">
        <v>144</v>
      </c>
      <c r="X120" s="135">
        <v>144</v>
      </c>
      <c r="Y120" s="135">
        <v>144</v>
      </c>
      <c r="Z120" s="79"/>
      <c r="AA120" s="135">
        <v>2</v>
      </c>
      <c r="AB120" s="136" t="s">
        <v>32</v>
      </c>
      <c r="AC120" s="80"/>
      <c r="AD120" s="81"/>
      <c r="AE120" s="82"/>
      <c r="AF120" s="82"/>
      <c r="AG120" s="82"/>
      <c r="AH120" s="82"/>
      <c r="AI120" s="82"/>
      <c r="AJ120" s="82"/>
      <c r="AK120" s="82"/>
      <c r="AL120" s="82"/>
      <c r="AM120" s="83"/>
      <c r="AN120" s="83"/>
      <c r="AO120" s="84" t="str">
        <f t="shared" si="16"/>
        <v>لا</v>
      </c>
      <c r="AP120" s="85" t="str">
        <f t="shared" si="17"/>
        <v/>
      </c>
      <c r="AQ120" s="84" t="str">
        <f t="shared" si="18"/>
        <v>لا</v>
      </c>
      <c r="AR120" s="85" t="str">
        <f t="shared" si="19"/>
        <v/>
      </c>
      <c r="AS120" s="86" t="str">
        <f t="shared" si="20"/>
        <v>لا</v>
      </c>
      <c r="AT120" s="87" t="str">
        <f t="shared" si="21"/>
        <v/>
      </c>
      <c r="AU120" s="88"/>
      <c r="AV120" s="89"/>
      <c r="AW120" s="90"/>
      <c r="AX120" s="91" cm="1">
        <f t="array" ref="AX120">IFERROR(_xlfn.IFS($AB120="عدد الموظفين/الوحدة",S120*$AA120,$AB120='طريقة الحساب'!$B$2,S120*$AA120/الافتراضات!$B$27,$AB120='طريقة الحساب'!$B$3,S120*$AA120/الافتراضات!$B$26,$AB120='طريقة الحساب'!$B$4,S120*$AA120/الافتراضات!$B$28),"")</f>
        <v>0.29062117948419397</v>
      </c>
      <c r="AY120" s="91" cm="1">
        <f t="array" ref="AY120">IFERROR(_xlfn.IFS($AB120="عدد الموظفين/الوحدة",T120*$AA120,$AB120='طريقة الحساب'!$B$2,T120*$AA120/الافتراضات!$B$27,$AB120='طريقة الحساب'!$B$3,T120*$AA120/الافتراضات!$B$26,$AB120='طريقة الحساب'!$B$4,T120*$AA120/الافتراضات!$B$28),"")</f>
        <v>0.29062117948419397</v>
      </c>
      <c r="AZ120" s="91" cm="1">
        <f t="array" ref="AZ120">IFERROR(_xlfn.IFS($AB120="عدد الموظفين/الوحدة",U120*$AA120,$AB120='طريقة الحساب'!$B$2,U120*$AA120/الافتراضات!$B$27,$AB120='طريقة الحساب'!$B$3,U120*$AA120/الافتراضات!$B$26,$AB120='طريقة الحساب'!$B$4,U120*$AA120/الافتراضات!$B$28),"")</f>
        <v>0.29062117948419397</v>
      </c>
      <c r="BA120" s="91" cm="1">
        <f t="array" ref="BA120">IFERROR(_xlfn.IFS($AB120="عدد الموظفين/الوحدة",V120*$AA120,$AB120='طريقة الحساب'!$B$2,V120*$AA120/الافتراضات!$B$27,$AB120='طريقة الحساب'!$B$3,V120*$AA120/الافتراضات!$B$26,$AB120='طريقة الحساب'!$B$4,V120*$AA120/الافتراضات!$B$28),"")</f>
        <v>0.29062117948419397</v>
      </c>
      <c r="BB120" s="91" cm="1">
        <f t="array" ref="BB120">IFERROR(_xlfn.IFS($AB120="عدد الموظفين/الوحدة",W120*$AA120,$AB120='طريقة الحساب'!$B$2,W120*$AA120/الافتراضات!$B$27,$AB120='طريقة الحساب'!$B$3,W120*$AA120/الافتراضات!$B$26,$AB120='طريقة الحساب'!$B$4,W120*$AA120/الافتراضات!$B$28),"")</f>
        <v>0.29062117948419397</v>
      </c>
      <c r="BC120" s="91" cm="1">
        <f t="array" ref="BC120">IFERROR(_xlfn.IFS($AB120="عدد الموظفين/الوحدة",X120*$AA120,$AB120='طريقة الحساب'!$B$2,X120*$AA120/الافتراضات!$B$27,$AB120='طريقة الحساب'!$B$3,X120*$AA120/الافتراضات!$B$26,$AB120='طريقة الحساب'!$B$4,X120*$AA120/الافتراضات!$B$28),"")</f>
        <v>0.29062117948419397</v>
      </c>
      <c r="BD120" s="91" cm="1">
        <f t="array" ref="BD120">IFERROR(_xlfn.IFS($AB120="عدد الموظفين/الوحدة",Y120*$AA120,$AB120='طريقة الحساب'!$B$2,Y120*$AA120/الافتراضات!$B$27,$AB120='طريقة الحساب'!$B$3,Y120*$AA120/الافتراضات!$B$26,$AB120='طريقة الحساب'!$B$4,Y120*$AA120/الافتراضات!$B$28),"")</f>
        <v>0.29062117948419397</v>
      </c>
      <c r="BE120" s="91" cm="1">
        <f t="array" ref="BE120">IFERROR(_xlfn.IFS($AB120="عدد الموظفين/الوحدة",Z120*$AA120,$AB120='طريقة الحساب'!$B$2,Z120*$AA120/الافتراضات!$B$27,$AB120='طريقة الحساب'!$B$3,Z120*$AA120/الافتراضات!$B$26,$AB120='طريقة الحساب'!$B$4,Z120*$AA120/الافتراضات!$B$28),"")</f>
        <v>0</v>
      </c>
      <c r="BF120" s="92"/>
    </row>
    <row r="121" spans="2:58" x14ac:dyDescent="0.35">
      <c r="B121" s="124" t="s">
        <v>87</v>
      </c>
      <c r="C121" s="131" t="s">
        <v>88</v>
      </c>
      <c r="D121" s="131" t="s">
        <v>90</v>
      </c>
      <c r="E121" s="138" t="s">
        <v>92</v>
      </c>
      <c r="F121" s="125" t="s">
        <v>203</v>
      </c>
      <c r="G121" s="126" t="s">
        <v>84</v>
      </c>
      <c r="H121" s="127"/>
      <c r="I121" s="132">
        <v>96</v>
      </c>
      <c r="J121" s="133">
        <v>96</v>
      </c>
      <c r="K121" s="133">
        <v>96</v>
      </c>
      <c r="L121" s="133">
        <v>96</v>
      </c>
      <c r="M121" s="133">
        <v>96</v>
      </c>
      <c r="N121" s="133">
        <v>96</v>
      </c>
      <c r="O121" s="133">
        <v>96</v>
      </c>
      <c r="P121" s="139">
        <v>1</v>
      </c>
      <c r="Q121" s="134" t="s">
        <v>46</v>
      </c>
      <c r="R121" s="128"/>
      <c r="S121" s="135">
        <v>96</v>
      </c>
      <c r="T121" s="135">
        <v>96</v>
      </c>
      <c r="U121" s="135">
        <v>96</v>
      </c>
      <c r="V121" s="135">
        <v>96</v>
      </c>
      <c r="W121" s="135">
        <v>96</v>
      </c>
      <c r="X121" s="135">
        <v>96</v>
      </c>
      <c r="Y121" s="135">
        <v>96</v>
      </c>
      <c r="Z121" s="79"/>
      <c r="AA121" s="135">
        <v>1</v>
      </c>
      <c r="AB121" s="136" t="s">
        <v>46</v>
      </c>
      <c r="AC121" s="80"/>
      <c r="AD121" s="81"/>
      <c r="AE121" s="82"/>
      <c r="AF121" s="82"/>
      <c r="AG121" s="82"/>
      <c r="AH121" s="82"/>
      <c r="AI121" s="82"/>
      <c r="AJ121" s="82"/>
      <c r="AK121" s="82"/>
      <c r="AL121" s="82"/>
      <c r="AM121" s="83"/>
      <c r="AN121" s="83"/>
      <c r="AO121" s="84" t="str">
        <f t="shared" si="16"/>
        <v>لا</v>
      </c>
      <c r="AP121" s="85" t="str">
        <f t="shared" si="17"/>
        <v/>
      </c>
      <c r="AQ121" s="84" t="str">
        <f t="shared" si="18"/>
        <v>لا</v>
      </c>
      <c r="AR121" s="85" t="str">
        <f t="shared" si="19"/>
        <v/>
      </c>
      <c r="AS121" s="86" t="str">
        <f t="shared" si="20"/>
        <v>لا</v>
      </c>
      <c r="AT121" s="87" t="str">
        <f t="shared" si="21"/>
        <v/>
      </c>
      <c r="AU121" s="88"/>
      <c r="AV121" s="89"/>
      <c r="AW121" s="90"/>
      <c r="AX121" s="91" cm="1">
        <f t="array" ref="AX121">IFERROR(_xlfn.IFS($AB121="عدد الموظفين/الوحدة",S121*$AA121,$AB121='طريقة الحساب'!$B$2,S121*$AA121/الافتراضات!$B$27,$AB121='طريقة الحساب'!$B$3,S121*$AA121/الافتراضات!$B$26,$AB121='طريقة الحساب'!$B$4,S121*$AA121/الافتراضات!$B$28),"")</f>
        <v>0.49740932642487046</v>
      </c>
      <c r="AY121" s="91" cm="1">
        <f t="array" ref="AY121">IFERROR(_xlfn.IFS($AB121="عدد الموظفين/الوحدة",T121*$AA121,$AB121='طريقة الحساب'!$B$2,T121*$AA121/الافتراضات!$B$27,$AB121='طريقة الحساب'!$B$3,T121*$AA121/الافتراضات!$B$26,$AB121='طريقة الحساب'!$B$4,T121*$AA121/الافتراضات!$B$28),"")</f>
        <v>0.49740932642487046</v>
      </c>
      <c r="AZ121" s="91" cm="1">
        <f t="array" ref="AZ121">IFERROR(_xlfn.IFS($AB121="عدد الموظفين/الوحدة",U121*$AA121,$AB121='طريقة الحساب'!$B$2,U121*$AA121/الافتراضات!$B$27,$AB121='طريقة الحساب'!$B$3,U121*$AA121/الافتراضات!$B$26,$AB121='طريقة الحساب'!$B$4,U121*$AA121/الافتراضات!$B$28),"")</f>
        <v>0.49740932642487046</v>
      </c>
      <c r="BA121" s="91" cm="1">
        <f t="array" ref="BA121">IFERROR(_xlfn.IFS($AB121="عدد الموظفين/الوحدة",V121*$AA121,$AB121='طريقة الحساب'!$B$2,V121*$AA121/الافتراضات!$B$27,$AB121='طريقة الحساب'!$B$3,V121*$AA121/الافتراضات!$B$26,$AB121='طريقة الحساب'!$B$4,V121*$AA121/الافتراضات!$B$28),"")</f>
        <v>0.49740932642487046</v>
      </c>
      <c r="BB121" s="91" cm="1">
        <f t="array" ref="BB121">IFERROR(_xlfn.IFS($AB121="عدد الموظفين/الوحدة",W121*$AA121,$AB121='طريقة الحساب'!$B$2,W121*$AA121/الافتراضات!$B$27,$AB121='طريقة الحساب'!$B$3,W121*$AA121/الافتراضات!$B$26,$AB121='طريقة الحساب'!$B$4,W121*$AA121/الافتراضات!$B$28),"")</f>
        <v>0.49740932642487046</v>
      </c>
      <c r="BC121" s="91" cm="1">
        <f t="array" ref="BC121">IFERROR(_xlfn.IFS($AB121="عدد الموظفين/الوحدة",X121*$AA121,$AB121='طريقة الحساب'!$B$2,X121*$AA121/الافتراضات!$B$27,$AB121='طريقة الحساب'!$B$3,X121*$AA121/الافتراضات!$B$26,$AB121='طريقة الحساب'!$B$4,X121*$AA121/الافتراضات!$B$28),"")</f>
        <v>0.49740932642487046</v>
      </c>
      <c r="BD121" s="91" cm="1">
        <f t="array" ref="BD121">IFERROR(_xlfn.IFS($AB121="عدد الموظفين/الوحدة",Y121*$AA121,$AB121='طريقة الحساب'!$B$2,Y121*$AA121/الافتراضات!$B$27,$AB121='طريقة الحساب'!$B$3,Y121*$AA121/الافتراضات!$B$26,$AB121='طريقة الحساب'!$B$4,Y121*$AA121/الافتراضات!$B$28),"")</f>
        <v>0.49740932642487046</v>
      </c>
      <c r="BE121" s="91" cm="1">
        <f t="array" ref="BE121">IFERROR(_xlfn.IFS($AB121="عدد الموظفين/الوحدة",Z121*$AA121,$AB121='طريقة الحساب'!$B$2,Z121*$AA121/الافتراضات!$B$27,$AB121='طريقة الحساب'!$B$3,Z121*$AA121/الافتراضات!$B$26,$AB121='طريقة الحساب'!$B$4,Z121*$AA121/الافتراضات!$B$28),"")</f>
        <v>0</v>
      </c>
      <c r="BF121" s="92"/>
    </row>
    <row r="122" spans="2:58" x14ac:dyDescent="0.35">
      <c r="B122" s="124" t="s">
        <v>87</v>
      </c>
      <c r="C122" s="131" t="s">
        <v>88</v>
      </c>
      <c r="D122" s="131" t="s">
        <v>90</v>
      </c>
      <c r="E122" s="138" t="s">
        <v>92</v>
      </c>
      <c r="F122" s="125" t="s">
        <v>204</v>
      </c>
      <c r="G122" s="126" t="s">
        <v>84</v>
      </c>
      <c r="H122" s="127"/>
      <c r="I122" s="132">
        <v>240</v>
      </c>
      <c r="J122" s="133">
        <v>240</v>
      </c>
      <c r="K122" s="133">
        <v>240</v>
      </c>
      <c r="L122" s="133">
        <v>240</v>
      </c>
      <c r="M122" s="133">
        <v>240</v>
      </c>
      <c r="N122" s="133">
        <v>240</v>
      </c>
      <c r="O122" s="133">
        <v>240</v>
      </c>
      <c r="P122" s="139">
        <v>1</v>
      </c>
      <c r="Q122" s="134" t="s">
        <v>46</v>
      </c>
      <c r="R122" s="128"/>
      <c r="S122" s="135">
        <v>240</v>
      </c>
      <c r="T122" s="135">
        <v>240</v>
      </c>
      <c r="U122" s="135">
        <v>240</v>
      </c>
      <c r="V122" s="135">
        <v>240</v>
      </c>
      <c r="W122" s="135">
        <v>240</v>
      </c>
      <c r="X122" s="135">
        <v>240</v>
      </c>
      <c r="Y122" s="135">
        <v>240</v>
      </c>
      <c r="Z122" s="79"/>
      <c r="AA122" s="135">
        <v>1</v>
      </c>
      <c r="AB122" s="136" t="s">
        <v>46</v>
      </c>
      <c r="AC122" s="80"/>
      <c r="AD122" s="81"/>
      <c r="AE122" s="82"/>
      <c r="AF122" s="82"/>
      <c r="AG122" s="82"/>
      <c r="AH122" s="82"/>
      <c r="AI122" s="82"/>
      <c r="AJ122" s="82"/>
      <c r="AK122" s="82"/>
      <c r="AL122" s="82"/>
      <c r="AM122" s="83"/>
      <c r="AN122" s="83"/>
      <c r="AO122" s="84" t="str">
        <f t="shared" si="16"/>
        <v>لا</v>
      </c>
      <c r="AP122" s="85" t="str">
        <f t="shared" si="17"/>
        <v/>
      </c>
      <c r="AQ122" s="84" t="str">
        <f t="shared" si="18"/>
        <v>لا</v>
      </c>
      <c r="AR122" s="85" t="str">
        <f t="shared" si="19"/>
        <v/>
      </c>
      <c r="AS122" s="86" t="str">
        <f t="shared" si="20"/>
        <v>لا</v>
      </c>
      <c r="AT122" s="87" t="str">
        <f t="shared" si="21"/>
        <v/>
      </c>
      <c r="AU122" s="88"/>
      <c r="AV122" s="89"/>
      <c r="AW122" s="90"/>
      <c r="AX122" s="91" cm="1">
        <f t="array" ref="AX122">IFERROR(_xlfn.IFS($AB122="عدد الموظفين/الوحدة",S122*$AA122,$AB122='طريقة الحساب'!$B$2,S122*$AA122/الافتراضات!$B$27,$AB122='طريقة الحساب'!$B$3,S122*$AA122/الافتراضات!$B$26,$AB122='طريقة الحساب'!$B$4,S122*$AA122/الافتراضات!$B$28),"")</f>
        <v>1.2435233160621761</v>
      </c>
      <c r="AY122" s="91" cm="1">
        <f t="array" ref="AY122">IFERROR(_xlfn.IFS($AB122="عدد الموظفين/الوحدة",T122*$AA122,$AB122='طريقة الحساب'!$B$2,T122*$AA122/الافتراضات!$B$27,$AB122='طريقة الحساب'!$B$3,T122*$AA122/الافتراضات!$B$26,$AB122='طريقة الحساب'!$B$4,T122*$AA122/الافتراضات!$B$28),"")</f>
        <v>1.2435233160621761</v>
      </c>
      <c r="AZ122" s="91" cm="1">
        <f t="array" ref="AZ122">IFERROR(_xlfn.IFS($AB122="عدد الموظفين/الوحدة",U122*$AA122,$AB122='طريقة الحساب'!$B$2,U122*$AA122/الافتراضات!$B$27,$AB122='طريقة الحساب'!$B$3,U122*$AA122/الافتراضات!$B$26,$AB122='طريقة الحساب'!$B$4,U122*$AA122/الافتراضات!$B$28),"")</f>
        <v>1.2435233160621761</v>
      </c>
      <c r="BA122" s="91" cm="1">
        <f t="array" ref="BA122">IFERROR(_xlfn.IFS($AB122="عدد الموظفين/الوحدة",V122*$AA122,$AB122='طريقة الحساب'!$B$2,V122*$AA122/الافتراضات!$B$27,$AB122='طريقة الحساب'!$B$3,V122*$AA122/الافتراضات!$B$26,$AB122='طريقة الحساب'!$B$4,V122*$AA122/الافتراضات!$B$28),"")</f>
        <v>1.2435233160621761</v>
      </c>
      <c r="BB122" s="91" cm="1">
        <f t="array" ref="BB122">IFERROR(_xlfn.IFS($AB122="عدد الموظفين/الوحدة",W122*$AA122,$AB122='طريقة الحساب'!$B$2,W122*$AA122/الافتراضات!$B$27,$AB122='طريقة الحساب'!$B$3,W122*$AA122/الافتراضات!$B$26,$AB122='طريقة الحساب'!$B$4,W122*$AA122/الافتراضات!$B$28),"")</f>
        <v>1.2435233160621761</v>
      </c>
      <c r="BC122" s="91" cm="1">
        <f t="array" ref="BC122">IFERROR(_xlfn.IFS($AB122="عدد الموظفين/الوحدة",X122*$AA122,$AB122='طريقة الحساب'!$B$2,X122*$AA122/الافتراضات!$B$27,$AB122='طريقة الحساب'!$B$3,X122*$AA122/الافتراضات!$B$26,$AB122='طريقة الحساب'!$B$4,X122*$AA122/الافتراضات!$B$28),"")</f>
        <v>1.2435233160621761</v>
      </c>
      <c r="BD122" s="91" cm="1">
        <f t="array" ref="BD122">IFERROR(_xlfn.IFS($AB122="عدد الموظفين/الوحدة",Y122*$AA122,$AB122='طريقة الحساب'!$B$2,Y122*$AA122/الافتراضات!$B$27,$AB122='طريقة الحساب'!$B$3,Y122*$AA122/الافتراضات!$B$26,$AB122='طريقة الحساب'!$B$4,Y122*$AA122/الافتراضات!$B$28),"")</f>
        <v>1.2435233160621761</v>
      </c>
      <c r="BE122" s="91" cm="1">
        <f t="array" ref="BE122">IFERROR(_xlfn.IFS($AB122="عدد الموظفين/الوحدة",Z122*$AA122,$AB122='طريقة الحساب'!$B$2,Z122*$AA122/الافتراضات!$B$27,$AB122='طريقة الحساب'!$B$3,Z122*$AA122/الافتراضات!$B$26,$AB122='طريقة الحساب'!$B$4,Z122*$AA122/الافتراضات!$B$28),"")</f>
        <v>0</v>
      </c>
      <c r="BF122" s="92"/>
    </row>
    <row r="123" spans="2:58" x14ac:dyDescent="0.35">
      <c r="B123" s="124" t="s">
        <v>87</v>
      </c>
      <c r="C123" s="131" t="s">
        <v>88</v>
      </c>
      <c r="D123" s="131" t="s">
        <v>90</v>
      </c>
      <c r="E123" s="138" t="s">
        <v>92</v>
      </c>
      <c r="F123" s="125" t="s">
        <v>205</v>
      </c>
      <c r="G123" s="126" t="s">
        <v>84</v>
      </c>
      <c r="H123" s="127"/>
      <c r="I123" s="132">
        <v>480</v>
      </c>
      <c r="J123" s="133">
        <v>480</v>
      </c>
      <c r="K123" s="133">
        <v>480</v>
      </c>
      <c r="L123" s="133">
        <v>480</v>
      </c>
      <c r="M123" s="133">
        <v>480</v>
      </c>
      <c r="N123" s="133">
        <v>480</v>
      </c>
      <c r="O123" s="133">
        <v>480</v>
      </c>
      <c r="P123" s="139">
        <v>30</v>
      </c>
      <c r="Q123" s="134" t="s">
        <v>45</v>
      </c>
      <c r="R123" s="128"/>
      <c r="S123" s="135">
        <v>480</v>
      </c>
      <c r="T123" s="135">
        <v>480</v>
      </c>
      <c r="U123" s="135">
        <v>480</v>
      </c>
      <c r="V123" s="135">
        <v>480</v>
      </c>
      <c r="W123" s="135">
        <v>480</v>
      </c>
      <c r="X123" s="135">
        <v>480</v>
      </c>
      <c r="Y123" s="135">
        <v>480</v>
      </c>
      <c r="Z123" s="79"/>
      <c r="AA123" s="135">
        <v>30</v>
      </c>
      <c r="AB123" s="136" t="s">
        <v>45</v>
      </c>
      <c r="AC123" s="80"/>
      <c r="AD123" s="81"/>
      <c r="AE123" s="82"/>
      <c r="AF123" s="82"/>
      <c r="AG123" s="82"/>
      <c r="AH123" s="82"/>
      <c r="AI123" s="82"/>
      <c r="AJ123" s="82"/>
      <c r="AK123" s="82"/>
      <c r="AL123" s="82"/>
      <c r="AM123" s="83"/>
      <c r="AN123" s="83"/>
      <c r="AO123" s="84" t="str">
        <f t="shared" si="16"/>
        <v>لا</v>
      </c>
      <c r="AP123" s="85" t="str">
        <f t="shared" si="17"/>
        <v/>
      </c>
      <c r="AQ123" s="84" t="str">
        <f t="shared" si="18"/>
        <v>لا</v>
      </c>
      <c r="AR123" s="85" t="str">
        <f t="shared" si="19"/>
        <v/>
      </c>
      <c r="AS123" s="86" t="str">
        <f t="shared" si="20"/>
        <v>لا</v>
      </c>
      <c r="AT123" s="87" t="str">
        <f t="shared" si="21"/>
        <v/>
      </c>
      <c r="AU123" s="88"/>
      <c r="AV123" s="89"/>
      <c r="AW123" s="90"/>
      <c r="AX123" s="91" cm="1">
        <f t="array" ref="AX123">IFERROR(_xlfn.IFS($AB123="عدد الموظفين/الوحدة",S123*$AA123,$AB123='طريقة الحساب'!$B$2,S123*$AA123/الافتراضات!$B$27,$AB123='طريقة الحساب'!$B$3,S123*$AA123/الافتراضات!$B$26,$AB123='طريقة الحساب'!$B$4,S123*$AA123/الافتراضات!$B$28),"")</f>
        <v>0.24218431623682832</v>
      </c>
      <c r="AY123" s="91" cm="1">
        <f t="array" ref="AY123">IFERROR(_xlfn.IFS($AB123="عدد الموظفين/الوحدة",T123*$AA123,$AB123='طريقة الحساب'!$B$2,T123*$AA123/الافتراضات!$B$27,$AB123='طريقة الحساب'!$B$3,T123*$AA123/الافتراضات!$B$26,$AB123='طريقة الحساب'!$B$4,T123*$AA123/الافتراضات!$B$28),"")</f>
        <v>0.24218431623682832</v>
      </c>
      <c r="AZ123" s="91" cm="1">
        <f t="array" ref="AZ123">IFERROR(_xlfn.IFS($AB123="عدد الموظفين/الوحدة",U123*$AA123,$AB123='طريقة الحساب'!$B$2,U123*$AA123/الافتراضات!$B$27,$AB123='طريقة الحساب'!$B$3,U123*$AA123/الافتراضات!$B$26,$AB123='طريقة الحساب'!$B$4,U123*$AA123/الافتراضات!$B$28),"")</f>
        <v>0.24218431623682832</v>
      </c>
      <c r="BA123" s="91" cm="1">
        <f t="array" ref="BA123">IFERROR(_xlfn.IFS($AB123="عدد الموظفين/الوحدة",V123*$AA123,$AB123='طريقة الحساب'!$B$2,V123*$AA123/الافتراضات!$B$27,$AB123='طريقة الحساب'!$B$3,V123*$AA123/الافتراضات!$B$26,$AB123='طريقة الحساب'!$B$4,V123*$AA123/الافتراضات!$B$28),"")</f>
        <v>0.24218431623682832</v>
      </c>
      <c r="BB123" s="91" cm="1">
        <f t="array" ref="BB123">IFERROR(_xlfn.IFS($AB123="عدد الموظفين/الوحدة",W123*$AA123,$AB123='طريقة الحساب'!$B$2,W123*$AA123/الافتراضات!$B$27,$AB123='طريقة الحساب'!$B$3,W123*$AA123/الافتراضات!$B$26,$AB123='طريقة الحساب'!$B$4,W123*$AA123/الافتراضات!$B$28),"")</f>
        <v>0.24218431623682832</v>
      </c>
      <c r="BC123" s="91" cm="1">
        <f t="array" ref="BC123">IFERROR(_xlfn.IFS($AB123="عدد الموظفين/الوحدة",X123*$AA123,$AB123='طريقة الحساب'!$B$2,X123*$AA123/الافتراضات!$B$27,$AB123='طريقة الحساب'!$B$3,X123*$AA123/الافتراضات!$B$26,$AB123='طريقة الحساب'!$B$4,X123*$AA123/الافتراضات!$B$28),"")</f>
        <v>0.24218431623682832</v>
      </c>
      <c r="BD123" s="91" cm="1">
        <f t="array" ref="BD123">IFERROR(_xlfn.IFS($AB123="عدد الموظفين/الوحدة",Y123*$AA123,$AB123='طريقة الحساب'!$B$2,Y123*$AA123/الافتراضات!$B$27,$AB123='طريقة الحساب'!$B$3,Y123*$AA123/الافتراضات!$B$26,$AB123='طريقة الحساب'!$B$4,Y123*$AA123/الافتراضات!$B$28),"")</f>
        <v>0.24218431623682832</v>
      </c>
      <c r="BE123" s="91" cm="1">
        <f t="array" ref="BE123">IFERROR(_xlfn.IFS($AB123="عدد الموظفين/الوحدة",Z123*$AA123,$AB123='طريقة الحساب'!$B$2,Z123*$AA123/الافتراضات!$B$27,$AB123='طريقة الحساب'!$B$3,Z123*$AA123/الافتراضات!$B$26,$AB123='طريقة الحساب'!$B$4,Z123*$AA123/الافتراضات!$B$28),"")</f>
        <v>0</v>
      </c>
      <c r="BF123" s="92"/>
    </row>
    <row r="124" spans="2:58" x14ac:dyDescent="0.35">
      <c r="B124" s="124" t="s">
        <v>87</v>
      </c>
      <c r="C124" s="131" t="s">
        <v>88</v>
      </c>
      <c r="D124" s="131" t="s">
        <v>90</v>
      </c>
      <c r="E124" s="138" t="s">
        <v>92</v>
      </c>
      <c r="F124" s="125" t="s">
        <v>206</v>
      </c>
      <c r="G124" s="126" t="s">
        <v>84</v>
      </c>
      <c r="H124" s="127"/>
      <c r="I124" s="132">
        <v>4800</v>
      </c>
      <c r="J124" s="133">
        <v>4800</v>
      </c>
      <c r="K124" s="133">
        <v>4800</v>
      </c>
      <c r="L124" s="133">
        <v>4800</v>
      </c>
      <c r="M124" s="133">
        <v>4800</v>
      </c>
      <c r="N124" s="133">
        <v>4800</v>
      </c>
      <c r="O124" s="133">
        <v>4800</v>
      </c>
      <c r="P124" s="139">
        <v>10</v>
      </c>
      <c r="Q124" s="134" t="s">
        <v>45</v>
      </c>
      <c r="R124" s="128"/>
      <c r="S124" s="135">
        <v>4800</v>
      </c>
      <c r="T124" s="135">
        <v>4800</v>
      </c>
      <c r="U124" s="135">
        <v>4800</v>
      </c>
      <c r="V124" s="135">
        <v>4800</v>
      </c>
      <c r="W124" s="135">
        <v>4800</v>
      </c>
      <c r="X124" s="135">
        <v>4800</v>
      </c>
      <c r="Y124" s="135">
        <v>4800</v>
      </c>
      <c r="Z124" s="79"/>
      <c r="AA124" s="135">
        <v>10</v>
      </c>
      <c r="AB124" s="136" t="s">
        <v>45</v>
      </c>
      <c r="AC124" s="80"/>
      <c r="AD124" s="81"/>
      <c r="AE124" s="82"/>
      <c r="AF124" s="82"/>
      <c r="AG124" s="82"/>
      <c r="AH124" s="82"/>
      <c r="AI124" s="82"/>
      <c r="AJ124" s="82"/>
      <c r="AK124" s="82"/>
      <c r="AL124" s="82"/>
      <c r="AM124" s="83"/>
      <c r="AN124" s="83"/>
      <c r="AO124" s="84" t="str">
        <f t="shared" si="16"/>
        <v>لا</v>
      </c>
      <c r="AP124" s="85" t="str">
        <f t="shared" si="17"/>
        <v/>
      </c>
      <c r="AQ124" s="84" t="str">
        <f t="shared" si="18"/>
        <v>لا</v>
      </c>
      <c r="AR124" s="85" t="str">
        <f t="shared" si="19"/>
        <v/>
      </c>
      <c r="AS124" s="86" t="str">
        <f t="shared" si="20"/>
        <v>لا</v>
      </c>
      <c r="AT124" s="87" t="str">
        <f t="shared" si="21"/>
        <v/>
      </c>
      <c r="AU124" s="88"/>
      <c r="AV124" s="89"/>
      <c r="AW124" s="90"/>
      <c r="AX124" s="91" cm="1">
        <f t="array" ref="AX124">IFERROR(_xlfn.IFS($AB124="عدد الموظفين/الوحدة",S124*$AA124,$AB124='طريقة الحساب'!$B$2,S124*$AA124/الافتراضات!$B$27,$AB124='طريقة الحساب'!$B$3,S124*$AA124/الافتراضات!$B$26,$AB124='طريقة الحساب'!$B$4,S124*$AA124/الافتراضات!$B$28),"")</f>
        <v>0.80728105412276108</v>
      </c>
      <c r="AY124" s="91" cm="1">
        <f t="array" ref="AY124">IFERROR(_xlfn.IFS($AB124="عدد الموظفين/الوحدة",T124*$AA124,$AB124='طريقة الحساب'!$B$2,T124*$AA124/الافتراضات!$B$27,$AB124='طريقة الحساب'!$B$3,T124*$AA124/الافتراضات!$B$26,$AB124='طريقة الحساب'!$B$4,T124*$AA124/الافتراضات!$B$28),"")</f>
        <v>0.80728105412276108</v>
      </c>
      <c r="AZ124" s="91" cm="1">
        <f t="array" ref="AZ124">IFERROR(_xlfn.IFS($AB124="عدد الموظفين/الوحدة",U124*$AA124,$AB124='طريقة الحساب'!$B$2,U124*$AA124/الافتراضات!$B$27,$AB124='طريقة الحساب'!$B$3,U124*$AA124/الافتراضات!$B$26,$AB124='طريقة الحساب'!$B$4,U124*$AA124/الافتراضات!$B$28),"")</f>
        <v>0.80728105412276108</v>
      </c>
      <c r="BA124" s="91" cm="1">
        <f t="array" ref="BA124">IFERROR(_xlfn.IFS($AB124="عدد الموظفين/الوحدة",V124*$AA124,$AB124='طريقة الحساب'!$B$2,V124*$AA124/الافتراضات!$B$27,$AB124='طريقة الحساب'!$B$3,V124*$AA124/الافتراضات!$B$26,$AB124='طريقة الحساب'!$B$4,V124*$AA124/الافتراضات!$B$28),"")</f>
        <v>0.80728105412276108</v>
      </c>
      <c r="BB124" s="91" cm="1">
        <f t="array" ref="BB124">IFERROR(_xlfn.IFS($AB124="عدد الموظفين/الوحدة",W124*$AA124,$AB124='طريقة الحساب'!$B$2,W124*$AA124/الافتراضات!$B$27,$AB124='طريقة الحساب'!$B$3,W124*$AA124/الافتراضات!$B$26,$AB124='طريقة الحساب'!$B$4,W124*$AA124/الافتراضات!$B$28),"")</f>
        <v>0.80728105412276108</v>
      </c>
      <c r="BC124" s="91" cm="1">
        <f t="array" ref="BC124">IFERROR(_xlfn.IFS($AB124="عدد الموظفين/الوحدة",X124*$AA124,$AB124='طريقة الحساب'!$B$2,X124*$AA124/الافتراضات!$B$27,$AB124='طريقة الحساب'!$B$3,X124*$AA124/الافتراضات!$B$26,$AB124='طريقة الحساب'!$B$4,X124*$AA124/الافتراضات!$B$28),"")</f>
        <v>0.80728105412276108</v>
      </c>
      <c r="BD124" s="91" cm="1">
        <f t="array" ref="BD124">IFERROR(_xlfn.IFS($AB124="عدد الموظفين/الوحدة",Y124*$AA124,$AB124='طريقة الحساب'!$B$2,Y124*$AA124/الافتراضات!$B$27,$AB124='طريقة الحساب'!$B$3,Y124*$AA124/الافتراضات!$B$26,$AB124='طريقة الحساب'!$B$4,Y124*$AA124/الافتراضات!$B$28),"")</f>
        <v>0.80728105412276108</v>
      </c>
      <c r="BE124" s="91" cm="1">
        <f t="array" ref="BE124">IFERROR(_xlfn.IFS($AB124="عدد الموظفين/الوحدة",Z124*$AA124,$AB124='طريقة الحساب'!$B$2,Z124*$AA124/الافتراضات!$B$27,$AB124='طريقة الحساب'!$B$3,Z124*$AA124/الافتراضات!$B$26,$AB124='طريقة الحساب'!$B$4,Z124*$AA124/الافتراضات!$B$28),"")</f>
        <v>0</v>
      </c>
      <c r="BF124" s="92"/>
    </row>
    <row r="125" spans="2:58" x14ac:dyDescent="0.35">
      <c r="B125" s="124" t="s">
        <v>87</v>
      </c>
      <c r="C125" s="131" t="s">
        <v>88</v>
      </c>
      <c r="D125" s="131" t="s">
        <v>90</v>
      </c>
      <c r="E125" s="138" t="s">
        <v>92</v>
      </c>
      <c r="F125" s="125" t="s">
        <v>207</v>
      </c>
      <c r="G125" s="126" t="s">
        <v>84</v>
      </c>
      <c r="H125" s="127"/>
      <c r="I125" s="132">
        <v>4800</v>
      </c>
      <c r="J125" s="133">
        <v>4800</v>
      </c>
      <c r="K125" s="133">
        <v>4800</v>
      </c>
      <c r="L125" s="133">
        <v>4800</v>
      </c>
      <c r="M125" s="133">
        <v>4800</v>
      </c>
      <c r="N125" s="133">
        <v>4800</v>
      </c>
      <c r="O125" s="133">
        <v>4800</v>
      </c>
      <c r="P125" s="139">
        <v>2</v>
      </c>
      <c r="Q125" s="134" t="s">
        <v>32</v>
      </c>
      <c r="R125" s="128"/>
      <c r="S125" s="135">
        <v>4800</v>
      </c>
      <c r="T125" s="135">
        <v>4800</v>
      </c>
      <c r="U125" s="135">
        <v>4800</v>
      </c>
      <c r="V125" s="135">
        <v>4800</v>
      </c>
      <c r="W125" s="135">
        <v>4800</v>
      </c>
      <c r="X125" s="135">
        <v>4800</v>
      </c>
      <c r="Y125" s="135">
        <v>4800</v>
      </c>
      <c r="Z125" s="79"/>
      <c r="AA125" s="135">
        <v>2</v>
      </c>
      <c r="AB125" s="136" t="s">
        <v>32</v>
      </c>
      <c r="AC125" s="80"/>
      <c r="AD125" s="81"/>
      <c r="AE125" s="82"/>
      <c r="AF125" s="82"/>
      <c r="AG125" s="82"/>
      <c r="AH125" s="82"/>
      <c r="AI125" s="82"/>
      <c r="AJ125" s="82"/>
      <c r="AK125" s="82"/>
      <c r="AL125" s="82"/>
      <c r="AM125" s="83"/>
      <c r="AN125" s="83"/>
      <c r="AO125" s="84" t="str">
        <f t="shared" si="16"/>
        <v>لا</v>
      </c>
      <c r="AP125" s="85" t="str">
        <f t="shared" si="17"/>
        <v/>
      </c>
      <c r="AQ125" s="84" t="str">
        <f t="shared" si="18"/>
        <v>لا</v>
      </c>
      <c r="AR125" s="85" t="str">
        <f t="shared" si="19"/>
        <v/>
      </c>
      <c r="AS125" s="86" t="str">
        <f t="shared" si="20"/>
        <v>لا</v>
      </c>
      <c r="AT125" s="87" t="str">
        <f t="shared" si="21"/>
        <v/>
      </c>
      <c r="AU125" s="88"/>
      <c r="AV125" s="89"/>
      <c r="AW125" s="90"/>
      <c r="AX125" s="91" cm="1">
        <f t="array" ref="AX125">IFERROR(_xlfn.IFS($AB125="عدد الموظفين/الوحدة",S125*$AA125,$AB125='طريقة الحساب'!$B$2,S125*$AA125/الافتراضات!$B$27,$AB125='طريقة الحساب'!$B$3,S125*$AA125/الافتراضات!$B$26,$AB125='طريقة الحساب'!$B$4,S125*$AA125/الافتراضات!$B$28),"")</f>
        <v>9.6873726494731329</v>
      </c>
      <c r="AY125" s="91" cm="1">
        <f t="array" ref="AY125">IFERROR(_xlfn.IFS($AB125="عدد الموظفين/الوحدة",T125*$AA125,$AB125='طريقة الحساب'!$B$2,T125*$AA125/الافتراضات!$B$27,$AB125='طريقة الحساب'!$B$3,T125*$AA125/الافتراضات!$B$26,$AB125='طريقة الحساب'!$B$4,T125*$AA125/الافتراضات!$B$28),"")</f>
        <v>9.6873726494731329</v>
      </c>
      <c r="AZ125" s="91" cm="1">
        <f t="array" ref="AZ125">IFERROR(_xlfn.IFS($AB125="عدد الموظفين/الوحدة",U125*$AA125,$AB125='طريقة الحساب'!$B$2,U125*$AA125/الافتراضات!$B$27,$AB125='طريقة الحساب'!$B$3,U125*$AA125/الافتراضات!$B$26,$AB125='طريقة الحساب'!$B$4,U125*$AA125/الافتراضات!$B$28),"")</f>
        <v>9.6873726494731329</v>
      </c>
      <c r="BA125" s="91" cm="1">
        <f t="array" ref="BA125">IFERROR(_xlfn.IFS($AB125="عدد الموظفين/الوحدة",V125*$AA125,$AB125='طريقة الحساب'!$B$2,V125*$AA125/الافتراضات!$B$27,$AB125='طريقة الحساب'!$B$3,V125*$AA125/الافتراضات!$B$26,$AB125='طريقة الحساب'!$B$4,V125*$AA125/الافتراضات!$B$28),"")</f>
        <v>9.6873726494731329</v>
      </c>
      <c r="BB125" s="91" cm="1">
        <f t="array" ref="BB125">IFERROR(_xlfn.IFS($AB125="عدد الموظفين/الوحدة",W125*$AA125,$AB125='طريقة الحساب'!$B$2,W125*$AA125/الافتراضات!$B$27,$AB125='طريقة الحساب'!$B$3,W125*$AA125/الافتراضات!$B$26,$AB125='طريقة الحساب'!$B$4,W125*$AA125/الافتراضات!$B$28),"")</f>
        <v>9.6873726494731329</v>
      </c>
      <c r="BC125" s="91" cm="1">
        <f t="array" ref="BC125">IFERROR(_xlfn.IFS($AB125="عدد الموظفين/الوحدة",X125*$AA125,$AB125='طريقة الحساب'!$B$2,X125*$AA125/الافتراضات!$B$27,$AB125='طريقة الحساب'!$B$3,X125*$AA125/الافتراضات!$B$26,$AB125='طريقة الحساب'!$B$4,X125*$AA125/الافتراضات!$B$28),"")</f>
        <v>9.6873726494731329</v>
      </c>
      <c r="BD125" s="91" cm="1">
        <f t="array" ref="BD125">IFERROR(_xlfn.IFS($AB125="عدد الموظفين/الوحدة",Y125*$AA125,$AB125='طريقة الحساب'!$B$2,Y125*$AA125/الافتراضات!$B$27,$AB125='طريقة الحساب'!$B$3,Y125*$AA125/الافتراضات!$B$26,$AB125='طريقة الحساب'!$B$4,Y125*$AA125/الافتراضات!$B$28),"")</f>
        <v>9.6873726494731329</v>
      </c>
      <c r="BE125" s="91" cm="1">
        <f t="array" ref="BE125">IFERROR(_xlfn.IFS($AB125="عدد الموظفين/الوحدة",Z125*$AA125,$AB125='طريقة الحساب'!$B$2,Z125*$AA125/الافتراضات!$B$27,$AB125='طريقة الحساب'!$B$3,Z125*$AA125/الافتراضات!$B$26,$AB125='طريقة الحساب'!$B$4,Z125*$AA125/الافتراضات!$B$28),"")</f>
        <v>0</v>
      </c>
      <c r="BF125" s="92"/>
    </row>
    <row r="126" spans="2:58" x14ac:dyDescent="0.35">
      <c r="B126" s="124" t="s">
        <v>87</v>
      </c>
      <c r="C126" s="131" t="s">
        <v>88</v>
      </c>
      <c r="D126" s="131" t="s">
        <v>90</v>
      </c>
      <c r="E126" s="138" t="s">
        <v>92</v>
      </c>
      <c r="F126" s="125" t="s">
        <v>208</v>
      </c>
      <c r="G126" s="126" t="s">
        <v>84</v>
      </c>
      <c r="H126" s="127"/>
      <c r="I126" s="132">
        <v>48</v>
      </c>
      <c r="J126" s="133">
        <v>48</v>
      </c>
      <c r="K126" s="133">
        <v>48</v>
      </c>
      <c r="L126" s="133">
        <v>48</v>
      </c>
      <c r="M126" s="133">
        <v>48</v>
      </c>
      <c r="N126" s="133">
        <v>48</v>
      </c>
      <c r="O126" s="133">
        <v>48</v>
      </c>
      <c r="P126" s="139">
        <v>1</v>
      </c>
      <c r="Q126" s="134" t="s">
        <v>32</v>
      </c>
      <c r="R126" s="128"/>
      <c r="S126" s="135">
        <v>48</v>
      </c>
      <c r="T126" s="135">
        <v>48</v>
      </c>
      <c r="U126" s="135">
        <v>48</v>
      </c>
      <c r="V126" s="135">
        <v>48</v>
      </c>
      <c r="W126" s="135">
        <v>48</v>
      </c>
      <c r="X126" s="135">
        <v>48</v>
      </c>
      <c r="Y126" s="135">
        <v>48</v>
      </c>
      <c r="Z126" s="79"/>
      <c r="AA126" s="135">
        <v>1</v>
      </c>
      <c r="AB126" s="136" t="s">
        <v>32</v>
      </c>
      <c r="AC126" s="80"/>
      <c r="AD126" s="81"/>
      <c r="AE126" s="82"/>
      <c r="AF126" s="82"/>
      <c r="AG126" s="82"/>
      <c r="AH126" s="82"/>
      <c r="AI126" s="82"/>
      <c r="AJ126" s="82"/>
      <c r="AK126" s="82"/>
      <c r="AL126" s="82"/>
      <c r="AM126" s="83"/>
      <c r="AN126" s="83"/>
      <c r="AO126" s="84" t="str">
        <f t="shared" si="16"/>
        <v>لا</v>
      </c>
      <c r="AP126" s="85" t="str">
        <f t="shared" si="17"/>
        <v/>
      </c>
      <c r="AQ126" s="84" t="str">
        <f t="shared" si="18"/>
        <v>لا</v>
      </c>
      <c r="AR126" s="85" t="str">
        <f t="shared" si="19"/>
        <v/>
      </c>
      <c r="AS126" s="86" t="str">
        <f t="shared" si="20"/>
        <v>لا</v>
      </c>
      <c r="AT126" s="87" t="str">
        <f t="shared" si="21"/>
        <v/>
      </c>
      <c r="AU126" s="88"/>
      <c r="AV126" s="89"/>
      <c r="AW126" s="90"/>
      <c r="AX126" s="91" cm="1">
        <f t="array" ref="AX126">IFERROR(_xlfn.IFS($AB126="عدد الموظفين/الوحدة",S126*$AA126,$AB126='طريقة الحساب'!$B$2,S126*$AA126/الافتراضات!$B$27,$AB126='طريقة الحساب'!$B$3,S126*$AA126/الافتراضات!$B$26,$AB126='طريقة الحساب'!$B$4,S126*$AA126/الافتراضات!$B$28),"")</f>
        <v>4.8436863247365659E-2</v>
      </c>
      <c r="AY126" s="91" cm="1">
        <f t="array" ref="AY126">IFERROR(_xlfn.IFS($AB126="عدد الموظفين/الوحدة",T126*$AA126,$AB126='طريقة الحساب'!$B$2,T126*$AA126/الافتراضات!$B$27,$AB126='طريقة الحساب'!$B$3,T126*$AA126/الافتراضات!$B$26,$AB126='طريقة الحساب'!$B$4,T126*$AA126/الافتراضات!$B$28),"")</f>
        <v>4.8436863247365659E-2</v>
      </c>
      <c r="AZ126" s="91" cm="1">
        <f t="array" ref="AZ126">IFERROR(_xlfn.IFS($AB126="عدد الموظفين/الوحدة",U126*$AA126,$AB126='طريقة الحساب'!$B$2,U126*$AA126/الافتراضات!$B$27,$AB126='طريقة الحساب'!$B$3,U126*$AA126/الافتراضات!$B$26,$AB126='طريقة الحساب'!$B$4,U126*$AA126/الافتراضات!$B$28),"")</f>
        <v>4.8436863247365659E-2</v>
      </c>
      <c r="BA126" s="91" cm="1">
        <f t="array" ref="BA126">IFERROR(_xlfn.IFS($AB126="عدد الموظفين/الوحدة",V126*$AA126,$AB126='طريقة الحساب'!$B$2,V126*$AA126/الافتراضات!$B$27,$AB126='طريقة الحساب'!$B$3,V126*$AA126/الافتراضات!$B$26,$AB126='طريقة الحساب'!$B$4,V126*$AA126/الافتراضات!$B$28),"")</f>
        <v>4.8436863247365659E-2</v>
      </c>
      <c r="BB126" s="91" cm="1">
        <f t="array" ref="BB126">IFERROR(_xlfn.IFS($AB126="عدد الموظفين/الوحدة",W126*$AA126,$AB126='طريقة الحساب'!$B$2,W126*$AA126/الافتراضات!$B$27,$AB126='طريقة الحساب'!$B$3,W126*$AA126/الافتراضات!$B$26,$AB126='طريقة الحساب'!$B$4,W126*$AA126/الافتراضات!$B$28),"")</f>
        <v>4.8436863247365659E-2</v>
      </c>
      <c r="BC126" s="91" cm="1">
        <f t="array" ref="BC126">IFERROR(_xlfn.IFS($AB126="عدد الموظفين/الوحدة",X126*$AA126,$AB126='طريقة الحساب'!$B$2,X126*$AA126/الافتراضات!$B$27,$AB126='طريقة الحساب'!$B$3,X126*$AA126/الافتراضات!$B$26,$AB126='طريقة الحساب'!$B$4,X126*$AA126/الافتراضات!$B$28),"")</f>
        <v>4.8436863247365659E-2</v>
      </c>
      <c r="BD126" s="91" cm="1">
        <f t="array" ref="BD126">IFERROR(_xlfn.IFS($AB126="عدد الموظفين/الوحدة",Y126*$AA126,$AB126='طريقة الحساب'!$B$2,Y126*$AA126/الافتراضات!$B$27,$AB126='طريقة الحساب'!$B$3,Y126*$AA126/الافتراضات!$B$26,$AB126='طريقة الحساب'!$B$4,Y126*$AA126/الافتراضات!$B$28),"")</f>
        <v>4.8436863247365659E-2</v>
      </c>
      <c r="BE126" s="91" cm="1">
        <f t="array" ref="BE126">IFERROR(_xlfn.IFS($AB126="عدد الموظفين/الوحدة",Z126*$AA126,$AB126='طريقة الحساب'!$B$2,Z126*$AA126/الافتراضات!$B$27,$AB126='طريقة الحساب'!$B$3,Z126*$AA126/الافتراضات!$B$26,$AB126='طريقة الحساب'!$B$4,Z126*$AA126/الافتراضات!$B$28),"")</f>
        <v>0</v>
      </c>
      <c r="BF126" s="92"/>
    </row>
    <row r="127" spans="2:58" x14ac:dyDescent="0.35">
      <c r="B127" s="124" t="s">
        <v>87</v>
      </c>
      <c r="C127" s="131" t="s">
        <v>88</v>
      </c>
      <c r="D127" s="131" t="s">
        <v>90</v>
      </c>
      <c r="E127" s="138" t="s">
        <v>92</v>
      </c>
      <c r="F127" s="125" t="s">
        <v>209</v>
      </c>
      <c r="G127" s="126" t="s">
        <v>84</v>
      </c>
      <c r="H127" s="127"/>
      <c r="I127" s="132">
        <v>96</v>
      </c>
      <c r="J127" s="133">
        <v>96</v>
      </c>
      <c r="K127" s="133">
        <v>96</v>
      </c>
      <c r="L127" s="133">
        <v>96</v>
      </c>
      <c r="M127" s="133">
        <v>96</v>
      </c>
      <c r="N127" s="133">
        <v>96</v>
      </c>
      <c r="O127" s="133">
        <v>96</v>
      </c>
      <c r="P127" s="139">
        <v>15</v>
      </c>
      <c r="Q127" s="134" t="s">
        <v>45</v>
      </c>
      <c r="R127" s="128"/>
      <c r="S127" s="135">
        <v>96</v>
      </c>
      <c r="T127" s="135">
        <v>96</v>
      </c>
      <c r="U127" s="135">
        <v>96</v>
      </c>
      <c r="V127" s="135">
        <v>96</v>
      </c>
      <c r="W127" s="135">
        <v>96</v>
      </c>
      <c r="X127" s="135">
        <v>96</v>
      </c>
      <c r="Y127" s="135">
        <v>96</v>
      </c>
      <c r="Z127" s="79"/>
      <c r="AA127" s="135">
        <v>15</v>
      </c>
      <c r="AB127" s="136" t="s">
        <v>45</v>
      </c>
      <c r="AC127" s="80"/>
      <c r="AD127" s="81"/>
      <c r="AE127" s="82"/>
      <c r="AF127" s="82"/>
      <c r="AG127" s="82"/>
      <c r="AH127" s="82"/>
      <c r="AI127" s="82"/>
      <c r="AJ127" s="82"/>
      <c r="AK127" s="82"/>
      <c r="AL127" s="82"/>
      <c r="AM127" s="83"/>
      <c r="AN127" s="83"/>
      <c r="AO127" s="84" t="str">
        <f t="shared" si="16"/>
        <v>لا</v>
      </c>
      <c r="AP127" s="85" t="str">
        <f t="shared" si="17"/>
        <v/>
      </c>
      <c r="AQ127" s="84" t="str">
        <f t="shared" si="18"/>
        <v>لا</v>
      </c>
      <c r="AR127" s="85" t="str">
        <f t="shared" si="19"/>
        <v/>
      </c>
      <c r="AS127" s="86" t="str">
        <f t="shared" si="20"/>
        <v>لا</v>
      </c>
      <c r="AT127" s="87" t="str">
        <f t="shared" si="21"/>
        <v/>
      </c>
      <c r="AU127" s="88"/>
      <c r="AV127" s="89"/>
      <c r="AW127" s="90"/>
      <c r="AX127" s="91" cm="1">
        <f t="array" ref="AX127">IFERROR(_xlfn.IFS($AB127="عدد الموظفين/الوحدة",S127*$AA127,$AB127='طريقة الحساب'!$B$2,S127*$AA127/الافتراضات!$B$27,$AB127='طريقة الحساب'!$B$3,S127*$AA127/الافتراضات!$B$26,$AB127='طريقة الحساب'!$B$4,S127*$AA127/الافتراضات!$B$28),"")</f>
        <v>2.421843162368283E-2</v>
      </c>
      <c r="AY127" s="91" cm="1">
        <f t="array" ref="AY127">IFERROR(_xlfn.IFS($AB127="عدد الموظفين/الوحدة",T127*$AA127,$AB127='طريقة الحساب'!$B$2,T127*$AA127/الافتراضات!$B$27,$AB127='طريقة الحساب'!$B$3,T127*$AA127/الافتراضات!$B$26,$AB127='طريقة الحساب'!$B$4,T127*$AA127/الافتراضات!$B$28),"")</f>
        <v>2.421843162368283E-2</v>
      </c>
      <c r="AZ127" s="91" cm="1">
        <f t="array" ref="AZ127">IFERROR(_xlfn.IFS($AB127="عدد الموظفين/الوحدة",U127*$AA127,$AB127='طريقة الحساب'!$B$2,U127*$AA127/الافتراضات!$B$27,$AB127='طريقة الحساب'!$B$3,U127*$AA127/الافتراضات!$B$26,$AB127='طريقة الحساب'!$B$4,U127*$AA127/الافتراضات!$B$28),"")</f>
        <v>2.421843162368283E-2</v>
      </c>
      <c r="BA127" s="91" cm="1">
        <f t="array" ref="BA127">IFERROR(_xlfn.IFS($AB127="عدد الموظفين/الوحدة",V127*$AA127,$AB127='طريقة الحساب'!$B$2,V127*$AA127/الافتراضات!$B$27,$AB127='طريقة الحساب'!$B$3,V127*$AA127/الافتراضات!$B$26,$AB127='طريقة الحساب'!$B$4,V127*$AA127/الافتراضات!$B$28),"")</f>
        <v>2.421843162368283E-2</v>
      </c>
      <c r="BB127" s="91" cm="1">
        <f t="array" ref="BB127">IFERROR(_xlfn.IFS($AB127="عدد الموظفين/الوحدة",W127*$AA127,$AB127='طريقة الحساب'!$B$2,W127*$AA127/الافتراضات!$B$27,$AB127='طريقة الحساب'!$B$3,W127*$AA127/الافتراضات!$B$26,$AB127='طريقة الحساب'!$B$4,W127*$AA127/الافتراضات!$B$28),"")</f>
        <v>2.421843162368283E-2</v>
      </c>
      <c r="BC127" s="91" cm="1">
        <f t="array" ref="BC127">IFERROR(_xlfn.IFS($AB127="عدد الموظفين/الوحدة",X127*$AA127,$AB127='طريقة الحساب'!$B$2,X127*$AA127/الافتراضات!$B$27,$AB127='طريقة الحساب'!$B$3,X127*$AA127/الافتراضات!$B$26,$AB127='طريقة الحساب'!$B$4,X127*$AA127/الافتراضات!$B$28),"")</f>
        <v>2.421843162368283E-2</v>
      </c>
      <c r="BD127" s="91" cm="1">
        <f t="array" ref="BD127">IFERROR(_xlfn.IFS($AB127="عدد الموظفين/الوحدة",Y127*$AA127,$AB127='طريقة الحساب'!$B$2,Y127*$AA127/الافتراضات!$B$27,$AB127='طريقة الحساب'!$B$3,Y127*$AA127/الافتراضات!$B$26,$AB127='طريقة الحساب'!$B$4,Y127*$AA127/الافتراضات!$B$28),"")</f>
        <v>2.421843162368283E-2</v>
      </c>
      <c r="BE127" s="91" cm="1">
        <f t="array" ref="BE127">IFERROR(_xlfn.IFS($AB127="عدد الموظفين/الوحدة",Z127*$AA127,$AB127='طريقة الحساب'!$B$2,Z127*$AA127/الافتراضات!$B$27,$AB127='طريقة الحساب'!$B$3,Z127*$AA127/الافتراضات!$B$26,$AB127='طريقة الحساب'!$B$4,Z127*$AA127/الافتراضات!$B$28),"")</f>
        <v>0</v>
      </c>
      <c r="BF127" s="92"/>
    </row>
    <row r="128" spans="2:58" x14ac:dyDescent="0.35">
      <c r="B128" s="124" t="s">
        <v>87</v>
      </c>
      <c r="C128" s="131" t="s">
        <v>88</v>
      </c>
      <c r="D128" s="131" t="s">
        <v>90</v>
      </c>
      <c r="E128" s="138" t="s">
        <v>92</v>
      </c>
      <c r="F128" s="125" t="s">
        <v>210</v>
      </c>
      <c r="G128" s="126" t="s">
        <v>84</v>
      </c>
      <c r="H128" s="127"/>
      <c r="I128" s="132">
        <v>12</v>
      </c>
      <c r="J128" s="133">
        <v>12</v>
      </c>
      <c r="K128" s="133">
        <v>12</v>
      </c>
      <c r="L128" s="133">
        <v>12</v>
      </c>
      <c r="M128" s="133">
        <v>12</v>
      </c>
      <c r="N128" s="133">
        <v>12</v>
      </c>
      <c r="O128" s="133">
        <v>12</v>
      </c>
      <c r="P128" s="139">
        <v>15</v>
      </c>
      <c r="Q128" s="134" t="s">
        <v>45</v>
      </c>
      <c r="R128" s="128"/>
      <c r="S128" s="135">
        <v>12</v>
      </c>
      <c r="T128" s="135">
        <v>12</v>
      </c>
      <c r="U128" s="135">
        <v>12</v>
      </c>
      <c r="V128" s="135">
        <v>12</v>
      </c>
      <c r="W128" s="135">
        <v>12</v>
      </c>
      <c r="X128" s="135">
        <v>12</v>
      </c>
      <c r="Y128" s="135">
        <v>12</v>
      </c>
      <c r="Z128" s="79"/>
      <c r="AA128" s="135">
        <v>15</v>
      </c>
      <c r="AB128" s="136" t="s">
        <v>45</v>
      </c>
      <c r="AC128" s="80"/>
      <c r="AD128" s="81"/>
      <c r="AE128" s="82"/>
      <c r="AF128" s="82"/>
      <c r="AG128" s="82"/>
      <c r="AH128" s="82"/>
      <c r="AI128" s="82"/>
      <c r="AJ128" s="82"/>
      <c r="AK128" s="82"/>
      <c r="AL128" s="82"/>
      <c r="AM128" s="83"/>
      <c r="AN128" s="83"/>
      <c r="AO128" s="84" t="str">
        <f t="shared" si="16"/>
        <v>لا</v>
      </c>
      <c r="AP128" s="85" t="str">
        <f t="shared" si="17"/>
        <v/>
      </c>
      <c r="AQ128" s="84" t="str">
        <f t="shared" si="18"/>
        <v>لا</v>
      </c>
      <c r="AR128" s="85" t="str">
        <f t="shared" si="19"/>
        <v/>
      </c>
      <c r="AS128" s="86" t="str">
        <f t="shared" si="20"/>
        <v>لا</v>
      </c>
      <c r="AT128" s="87" t="str">
        <f t="shared" si="21"/>
        <v/>
      </c>
      <c r="AU128" s="88"/>
      <c r="AV128" s="89"/>
      <c r="AW128" s="90"/>
      <c r="AX128" s="91" cm="1">
        <f t="array" ref="AX128">IFERROR(_xlfn.IFS($AB128="عدد الموظفين/الوحدة",S128*$AA128,$AB128='طريقة الحساب'!$B$2,S128*$AA128/الافتراضات!$B$27,$AB128='طريقة الحساب'!$B$3,S128*$AA128/الافتراضات!$B$26,$AB128='طريقة الحساب'!$B$4,S128*$AA128/الافتراضات!$B$28),"")</f>
        <v>3.0273039529603537E-3</v>
      </c>
      <c r="AY128" s="91" cm="1">
        <f t="array" ref="AY128">IFERROR(_xlfn.IFS($AB128="عدد الموظفين/الوحدة",T128*$AA128,$AB128='طريقة الحساب'!$B$2,T128*$AA128/الافتراضات!$B$27,$AB128='طريقة الحساب'!$B$3,T128*$AA128/الافتراضات!$B$26,$AB128='طريقة الحساب'!$B$4,T128*$AA128/الافتراضات!$B$28),"")</f>
        <v>3.0273039529603537E-3</v>
      </c>
      <c r="AZ128" s="91" cm="1">
        <f t="array" ref="AZ128">IFERROR(_xlfn.IFS($AB128="عدد الموظفين/الوحدة",U128*$AA128,$AB128='طريقة الحساب'!$B$2,U128*$AA128/الافتراضات!$B$27,$AB128='طريقة الحساب'!$B$3,U128*$AA128/الافتراضات!$B$26,$AB128='طريقة الحساب'!$B$4,U128*$AA128/الافتراضات!$B$28),"")</f>
        <v>3.0273039529603537E-3</v>
      </c>
      <c r="BA128" s="91" cm="1">
        <f t="array" ref="BA128">IFERROR(_xlfn.IFS($AB128="عدد الموظفين/الوحدة",V128*$AA128,$AB128='طريقة الحساب'!$B$2,V128*$AA128/الافتراضات!$B$27,$AB128='طريقة الحساب'!$B$3,V128*$AA128/الافتراضات!$B$26,$AB128='طريقة الحساب'!$B$4,V128*$AA128/الافتراضات!$B$28),"")</f>
        <v>3.0273039529603537E-3</v>
      </c>
      <c r="BB128" s="91" cm="1">
        <f t="array" ref="BB128">IFERROR(_xlfn.IFS($AB128="عدد الموظفين/الوحدة",W128*$AA128,$AB128='طريقة الحساب'!$B$2,W128*$AA128/الافتراضات!$B$27,$AB128='طريقة الحساب'!$B$3,W128*$AA128/الافتراضات!$B$26,$AB128='طريقة الحساب'!$B$4,W128*$AA128/الافتراضات!$B$28),"")</f>
        <v>3.0273039529603537E-3</v>
      </c>
      <c r="BC128" s="91" cm="1">
        <f t="array" ref="BC128">IFERROR(_xlfn.IFS($AB128="عدد الموظفين/الوحدة",X128*$AA128,$AB128='طريقة الحساب'!$B$2,X128*$AA128/الافتراضات!$B$27,$AB128='طريقة الحساب'!$B$3,X128*$AA128/الافتراضات!$B$26,$AB128='طريقة الحساب'!$B$4,X128*$AA128/الافتراضات!$B$28),"")</f>
        <v>3.0273039529603537E-3</v>
      </c>
      <c r="BD128" s="91" cm="1">
        <f t="array" ref="BD128">IFERROR(_xlfn.IFS($AB128="عدد الموظفين/الوحدة",Y128*$AA128,$AB128='طريقة الحساب'!$B$2,Y128*$AA128/الافتراضات!$B$27,$AB128='طريقة الحساب'!$B$3,Y128*$AA128/الافتراضات!$B$26,$AB128='طريقة الحساب'!$B$4,Y128*$AA128/الافتراضات!$B$28),"")</f>
        <v>3.0273039529603537E-3</v>
      </c>
      <c r="BE128" s="91" cm="1">
        <f t="array" ref="BE128">IFERROR(_xlfn.IFS($AB128="عدد الموظفين/الوحدة",Z128*$AA128,$AB128='طريقة الحساب'!$B$2,Z128*$AA128/الافتراضات!$B$27,$AB128='طريقة الحساب'!$B$3,Z128*$AA128/الافتراضات!$B$26,$AB128='طريقة الحساب'!$B$4,Z128*$AA128/الافتراضات!$B$28),"")</f>
        <v>0</v>
      </c>
      <c r="BF128" s="92"/>
    </row>
    <row r="129" spans="2:58" x14ac:dyDescent="0.35">
      <c r="B129" s="124" t="s">
        <v>87</v>
      </c>
      <c r="C129" s="131" t="s">
        <v>88</v>
      </c>
      <c r="D129" s="131" t="s">
        <v>90</v>
      </c>
      <c r="E129" s="138" t="s">
        <v>92</v>
      </c>
      <c r="F129" s="125" t="s">
        <v>211</v>
      </c>
      <c r="G129" s="126" t="s">
        <v>84</v>
      </c>
      <c r="H129" s="127"/>
      <c r="I129" s="132">
        <v>12</v>
      </c>
      <c r="J129" s="133">
        <v>12</v>
      </c>
      <c r="K129" s="133">
        <v>12</v>
      </c>
      <c r="L129" s="133">
        <v>12</v>
      </c>
      <c r="M129" s="133">
        <v>12</v>
      </c>
      <c r="N129" s="133">
        <v>12</v>
      </c>
      <c r="O129" s="133">
        <v>12</v>
      </c>
      <c r="P129" s="139">
        <v>30</v>
      </c>
      <c r="Q129" s="134" t="s">
        <v>45</v>
      </c>
      <c r="R129" s="128"/>
      <c r="S129" s="135">
        <v>12</v>
      </c>
      <c r="T129" s="135">
        <v>12</v>
      </c>
      <c r="U129" s="135">
        <v>12</v>
      </c>
      <c r="V129" s="135">
        <v>12</v>
      </c>
      <c r="W129" s="135">
        <v>12</v>
      </c>
      <c r="X129" s="135">
        <v>12</v>
      </c>
      <c r="Y129" s="135">
        <v>12</v>
      </c>
      <c r="Z129" s="79"/>
      <c r="AA129" s="135">
        <v>30</v>
      </c>
      <c r="AB129" s="136" t="s">
        <v>45</v>
      </c>
      <c r="AC129" s="80"/>
      <c r="AD129" s="81"/>
      <c r="AE129" s="82"/>
      <c r="AF129" s="82"/>
      <c r="AG129" s="82"/>
      <c r="AH129" s="82"/>
      <c r="AI129" s="82"/>
      <c r="AJ129" s="82"/>
      <c r="AK129" s="82"/>
      <c r="AL129" s="82"/>
      <c r="AM129" s="83"/>
      <c r="AN129" s="83"/>
      <c r="AO129" s="84" t="str">
        <f t="shared" si="16"/>
        <v>لا</v>
      </c>
      <c r="AP129" s="85" t="str">
        <f t="shared" si="17"/>
        <v/>
      </c>
      <c r="AQ129" s="84" t="str">
        <f t="shared" si="18"/>
        <v>لا</v>
      </c>
      <c r="AR129" s="85" t="str">
        <f t="shared" si="19"/>
        <v/>
      </c>
      <c r="AS129" s="86" t="str">
        <f t="shared" si="20"/>
        <v>لا</v>
      </c>
      <c r="AT129" s="87" t="str">
        <f t="shared" si="21"/>
        <v/>
      </c>
      <c r="AU129" s="88"/>
      <c r="AV129" s="89"/>
      <c r="AW129" s="90"/>
      <c r="AX129" s="91" cm="1">
        <f t="array" ref="AX129">IFERROR(_xlfn.IFS($AB129="عدد الموظفين/الوحدة",S129*$AA129,$AB129='طريقة الحساب'!$B$2,S129*$AA129/الافتراضات!$B$27,$AB129='طريقة الحساب'!$B$3,S129*$AA129/الافتراضات!$B$26,$AB129='طريقة الحساب'!$B$4,S129*$AA129/الافتراضات!$B$28),"")</f>
        <v>6.0546079059207074E-3</v>
      </c>
      <c r="AY129" s="91" cm="1">
        <f t="array" ref="AY129">IFERROR(_xlfn.IFS($AB129="عدد الموظفين/الوحدة",T129*$AA129,$AB129='طريقة الحساب'!$B$2,T129*$AA129/الافتراضات!$B$27,$AB129='طريقة الحساب'!$B$3,T129*$AA129/الافتراضات!$B$26,$AB129='طريقة الحساب'!$B$4,T129*$AA129/الافتراضات!$B$28),"")</f>
        <v>6.0546079059207074E-3</v>
      </c>
      <c r="AZ129" s="91" cm="1">
        <f t="array" ref="AZ129">IFERROR(_xlfn.IFS($AB129="عدد الموظفين/الوحدة",U129*$AA129,$AB129='طريقة الحساب'!$B$2,U129*$AA129/الافتراضات!$B$27,$AB129='طريقة الحساب'!$B$3,U129*$AA129/الافتراضات!$B$26,$AB129='طريقة الحساب'!$B$4,U129*$AA129/الافتراضات!$B$28),"")</f>
        <v>6.0546079059207074E-3</v>
      </c>
      <c r="BA129" s="91" cm="1">
        <f t="array" ref="BA129">IFERROR(_xlfn.IFS($AB129="عدد الموظفين/الوحدة",V129*$AA129,$AB129='طريقة الحساب'!$B$2,V129*$AA129/الافتراضات!$B$27,$AB129='طريقة الحساب'!$B$3,V129*$AA129/الافتراضات!$B$26,$AB129='طريقة الحساب'!$B$4,V129*$AA129/الافتراضات!$B$28),"")</f>
        <v>6.0546079059207074E-3</v>
      </c>
      <c r="BB129" s="91" cm="1">
        <f t="array" ref="BB129">IFERROR(_xlfn.IFS($AB129="عدد الموظفين/الوحدة",W129*$AA129,$AB129='طريقة الحساب'!$B$2,W129*$AA129/الافتراضات!$B$27,$AB129='طريقة الحساب'!$B$3,W129*$AA129/الافتراضات!$B$26,$AB129='طريقة الحساب'!$B$4,W129*$AA129/الافتراضات!$B$28),"")</f>
        <v>6.0546079059207074E-3</v>
      </c>
      <c r="BC129" s="91" cm="1">
        <f t="array" ref="BC129">IFERROR(_xlfn.IFS($AB129="عدد الموظفين/الوحدة",X129*$AA129,$AB129='طريقة الحساب'!$B$2,X129*$AA129/الافتراضات!$B$27,$AB129='طريقة الحساب'!$B$3,X129*$AA129/الافتراضات!$B$26,$AB129='طريقة الحساب'!$B$4,X129*$AA129/الافتراضات!$B$28),"")</f>
        <v>6.0546079059207074E-3</v>
      </c>
      <c r="BD129" s="91" cm="1">
        <f t="array" ref="BD129">IFERROR(_xlfn.IFS($AB129="عدد الموظفين/الوحدة",Y129*$AA129,$AB129='طريقة الحساب'!$B$2,Y129*$AA129/الافتراضات!$B$27,$AB129='طريقة الحساب'!$B$3,Y129*$AA129/الافتراضات!$B$26,$AB129='طريقة الحساب'!$B$4,Y129*$AA129/الافتراضات!$B$28),"")</f>
        <v>6.0546079059207074E-3</v>
      </c>
      <c r="BE129" s="91" cm="1">
        <f t="array" ref="BE129">IFERROR(_xlfn.IFS($AB129="عدد الموظفين/الوحدة",Z129*$AA129,$AB129='طريقة الحساب'!$B$2,Z129*$AA129/الافتراضات!$B$27,$AB129='طريقة الحساب'!$B$3,Z129*$AA129/الافتراضات!$B$26,$AB129='طريقة الحساب'!$B$4,Z129*$AA129/الافتراضات!$B$28),"")</f>
        <v>0</v>
      </c>
      <c r="BF129" s="92"/>
    </row>
    <row r="130" spans="2:58" x14ac:dyDescent="0.35">
      <c r="B130" s="124" t="s">
        <v>87</v>
      </c>
      <c r="C130" s="131" t="s">
        <v>88</v>
      </c>
      <c r="D130" s="131" t="s">
        <v>90</v>
      </c>
      <c r="E130" s="138" t="s">
        <v>92</v>
      </c>
      <c r="F130" s="125" t="s">
        <v>212</v>
      </c>
      <c r="G130" s="126" t="s">
        <v>84</v>
      </c>
      <c r="H130" s="127"/>
      <c r="I130" s="132">
        <v>280</v>
      </c>
      <c r="J130" s="133">
        <v>280</v>
      </c>
      <c r="K130" s="133">
        <v>280</v>
      </c>
      <c r="L130" s="133">
        <v>280</v>
      </c>
      <c r="M130" s="133">
        <v>280</v>
      </c>
      <c r="N130" s="133">
        <v>280</v>
      </c>
      <c r="O130" s="133">
        <v>280</v>
      </c>
      <c r="P130" s="139">
        <v>3</v>
      </c>
      <c r="Q130" s="134" t="s">
        <v>32</v>
      </c>
      <c r="R130" s="128"/>
      <c r="S130" s="135">
        <v>280</v>
      </c>
      <c r="T130" s="135">
        <v>280</v>
      </c>
      <c r="U130" s="135">
        <v>280</v>
      </c>
      <c r="V130" s="135">
        <v>280</v>
      </c>
      <c r="W130" s="135">
        <v>280</v>
      </c>
      <c r="X130" s="135">
        <v>280</v>
      </c>
      <c r="Y130" s="135">
        <v>280</v>
      </c>
      <c r="Z130" s="79"/>
      <c r="AA130" s="135">
        <v>3</v>
      </c>
      <c r="AB130" s="136" t="s">
        <v>32</v>
      </c>
      <c r="AC130" s="80"/>
      <c r="AD130" s="81"/>
      <c r="AE130" s="82"/>
      <c r="AF130" s="82"/>
      <c r="AG130" s="82"/>
      <c r="AH130" s="82"/>
      <c r="AI130" s="82"/>
      <c r="AJ130" s="82"/>
      <c r="AK130" s="82"/>
      <c r="AL130" s="82"/>
      <c r="AM130" s="83"/>
      <c r="AN130" s="83"/>
      <c r="AO130" s="84" t="str">
        <f t="shared" si="16"/>
        <v>لا</v>
      </c>
      <c r="AP130" s="85" t="str">
        <f t="shared" si="17"/>
        <v/>
      </c>
      <c r="AQ130" s="84" t="str">
        <f t="shared" si="18"/>
        <v>لا</v>
      </c>
      <c r="AR130" s="85" t="str">
        <f t="shared" si="19"/>
        <v/>
      </c>
      <c r="AS130" s="86" t="str">
        <f t="shared" si="20"/>
        <v>لا</v>
      </c>
      <c r="AT130" s="87" t="str">
        <f t="shared" si="21"/>
        <v/>
      </c>
      <c r="AU130" s="88"/>
      <c r="AV130" s="89"/>
      <c r="AW130" s="90"/>
      <c r="AX130" s="91" cm="1">
        <f t="array" ref="AX130">IFERROR(_xlfn.IFS($AB130="عدد الموظفين/الوحدة",S130*$AA130,$AB130='طريقة الحساب'!$B$2,S130*$AA130/الافتراضات!$B$27,$AB130='طريقة الحساب'!$B$3,S130*$AA130/الافتراضات!$B$26,$AB130='طريقة الحساب'!$B$4,S130*$AA130/الافتراضات!$B$28),"")</f>
        <v>0.84764510682889904</v>
      </c>
      <c r="AY130" s="91" cm="1">
        <f t="array" ref="AY130">IFERROR(_xlfn.IFS($AB130="عدد الموظفين/الوحدة",T130*$AA130,$AB130='طريقة الحساب'!$B$2,T130*$AA130/الافتراضات!$B$27,$AB130='طريقة الحساب'!$B$3,T130*$AA130/الافتراضات!$B$26,$AB130='طريقة الحساب'!$B$4,T130*$AA130/الافتراضات!$B$28),"")</f>
        <v>0.84764510682889904</v>
      </c>
      <c r="AZ130" s="91" cm="1">
        <f t="array" ref="AZ130">IFERROR(_xlfn.IFS($AB130="عدد الموظفين/الوحدة",U130*$AA130,$AB130='طريقة الحساب'!$B$2,U130*$AA130/الافتراضات!$B$27,$AB130='طريقة الحساب'!$B$3,U130*$AA130/الافتراضات!$B$26,$AB130='طريقة الحساب'!$B$4,U130*$AA130/الافتراضات!$B$28),"")</f>
        <v>0.84764510682889904</v>
      </c>
      <c r="BA130" s="91" cm="1">
        <f t="array" ref="BA130">IFERROR(_xlfn.IFS($AB130="عدد الموظفين/الوحدة",V130*$AA130,$AB130='طريقة الحساب'!$B$2,V130*$AA130/الافتراضات!$B$27,$AB130='طريقة الحساب'!$B$3,V130*$AA130/الافتراضات!$B$26,$AB130='طريقة الحساب'!$B$4,V130*$AA130/الافتراضات!$B$28),"")</f>
        <v>0.84764510682889904</v>
      </c>
      <c r="BB130" s="91" cm="1">
        <f t="array" ref="BB130">IFERROR(_xlfn.IFS($AB130="عدد الموظفين/الوحدة",W130*$AA130,$AB130='طريقة الحساب'!$B$2,W130*$AA130/الافتراضات!$B$27,$AB130='طريقة الحساب'!$B$3,W130*$AA130/الافتراضات!$B$26,$AB130='طريقة الحساب'!$B$4,W130*$AA130/الافتراضات!$B$28),"")</f>
        <v>0.84764510682889904</v>
      </c>
      <c r="BC130" s="91" cm="1">
        <f t="array" ref="BC130">IFERROR(_xlfn.IFS($AB130="عدد الموظفين/الوحدة",X130*$AA130,$AB130='طريقة الحساب'!$B$2,X130*$AA130/الافتراضات!$B$27,$AB130='طريقة الحساب'!$B$3,X130*$AA130/الافتراضات!$B$26,$AB130='طريقة الحساب'!$B$4,X130*$AA130/الافتراضات!$B$28),"")</f>
        <v>0.84764510682889904</v>
      </c>
      <c r="BD130" s="91" cm="1">
        <f t="array" ref="BD130">IFERROR(_xlfn.IFS($AB130="عدد الموظفين/الوحدة",Y130*$AA130,$AB130='طريقة الحساب'!$B$2,Y130*$AA130/الافتراضات!$B$27,$AB130='طريقة الحساب'!$B$3,Y130*$AA130/الافتراضات!$B$26,$AB130='طريقة الحساب'!$B$4,Y130*$AA130/الافتراضات!$B$28),"")</f>
        <v>0.84764510682889904</v>
      </c>
      <c r="BE130" s="91" cm="1">
        <f t="array" ref="BE130">IFERROR(_xlfn.IFS($AB130="عدد الموظفين/الوحدة",Z130*$AA130,$AB130='طريقة الحساب'!$B$2,Z130*$AA130/الافتراضات!$B$27,$AB130='طريقة الحساب'!$B$3,Z130*$AA130/الافتراضات!$B$26,$AB130='طريقة الحساب'!$B$4,Z130*$AA130/الافتراضات!$B$28),"")</f>
        <v>0</v>
      </c>
      <c r="BF130" s="92"/>
    </row>
    <row r="131" spans="2:58" x14ac:dyDescent="0.35">
      <c r="B131" s="124" t="s">
        <v>87</v>
      </c>
      <c r="C131" s="131" t="s">
        <v>88</v>
      </c>
      <c r="D131" s="131" t="s">
        <v>90</v>
      </c>
      <c r="E131" s="138" t="s">
        <v>92</v>
      </c>
      <c r="F131" s="125" t="s">
        <v>213</v>
      </c>
      <c r="G131" s="126" t="s">
        <v>84</v>
      </c>
      <c r="H131" s="127"/>
      <c r="I131" s="132">
        <v>12</v>
      </c>
      <c r="J131" s="133">
        <v>12</v>
      </c>
      <c r="K131" s="133">
        <v>12</v>
      </c>
      <c r="L131" s="133">
        <v>12</v>
      </c>
      <c r="M131" s="133">
        <v>12</v>
      </c>
      <c r="N131" s="133">
        <v>12</v>
      </c>
      <c r="O131" s="133">
        <v>12</v>
      </c>
      <c r="P131" s="139">
        <v>1</v>
      </c>
      <c r="Q131" s="134" t="s">
        <v>46</v>
      </c>
      <c r="R131" s="128"/>
      <c r="S131" s="135">
        <v>12</v>
      </c>
      <c r="T131" s="135">
        <v>12</v>
      </c>
      <c r="U131" s="135">
        <v>12</v>
      </c>
      <c r="V131" s="135">
        <v>12</v>
      </c>
      <c r="W131" s="135">
        <v>12</v>
      </c>
      <c r="X131" s="135">
        <v>12</v>
      </c>
      <c r="Y131" s="135">
        <v>12</v>
      </c>
      <c r="Z131" s="79"/>
      <c r="AA131" s="135">
        <v>1</v>
      </c>
      <c r="AB131" s="136" t="s">
        <v>46</v>
      </c>
      <c r="AC131" s="80"/>
      <c r="AD131" s="81"/>
      <c r="AE131" s="82"/>
      <c r="AF131" s="82"/>
      <c r="AG131" s="82"/>
      <c r="AH131" s="82"/>
      <c r="AI131" s="82"/>
      <c r="AJ131" s="82"/>
      <c r="AK131" s="82"/>
      <c r="AL131" s="82"/>
      <c r="AM131" s="83"/>
      <c r="AN131" s="83"/>
      <c r="AO131" s="84" t="str">
        <f t="shared" si="16"/>
        <v>لا</v>
      </c>
      <c r="AP131" s="85" t="str">
        <f t="shared" si="17"/>
        <v/>
      </c>
      <c r="AQ131" s="84" t="str">
        <f t="shared" si="18"/>
        <v>لا</v>
      </c>
      <c r="AR131" s="85" t="str">
        <f t="shared" si="19"/>
        <v/>
      </c>
      <c r="AS131" s="86" t="str">
        <f t="shared" si="20"/>
        <v>لا</v>
      </c>
      <c r="AT131" s="87" t="str">
        <f t="shared" si="21"/>
        <v/>
      </c>
      <c r="AU131" s="88"/>
      <c r="AV131" s="89"/>
      <c r="AW131" s="90"/>
      <c r="AX131" s="91" cm="1">
        <f t="array" ref="AX131">IFERROR(_xlfn.IFS($AB131="عدد الموظفين/الوحدة",S131*$AA131,$AB131='طريقة الحساب'!$B$2,S131*$AA131/الافتراضات!$B$27,$AB131='طريقة الحساب'!$B$3,S131*$AA131/الافتراضات!$B$26,$AB131='طريقة الحساب'!$B$4,S131*$AA131/الافتراضات!$B$28),"")</f>
        <v>6.2176165803108807E-2</v>
      </c>
      <c r="AY131" s="91" cm="1">
        <f t="array" ref="AY131">IFERROR(_xlfn.IFS($AB131="عدد الموظفين/الوحدة",T131*$AA131,$AB131='طريقة الحساب'!$B$2,T131*$AA131/الافتراضات!$B$27,$AB131='طريقة الحساب'!$B$3,T131*$AA131/الافتراضات!$B$26,$AB131='طريقة الحساب'!$B$4,T131*$AA131/الافتراضات!$B$28),"")</f>
        <v>6.2176165803108807E-2</v>
      </c>
      <c r="AZ131" s="91" cm="1">
        <f t="array" ref="AZ131">IFERROR(_xlfn.IFS($AB131="عدد الموظفين/الوحدة",U131*$AA131,$AB131='طريقة الحساب'!$B$2,U131*$AA131/الافتراضات!$B$27,$AB131='طريقة الحساب'!$B$3,U131*$AA131/الافتراضات!$B$26,$AB131='طريقة الحساب'!$B$4,U131*$AA131/الافتراضات!$B$28),"")</f>
        <v>6.2176165803108807E-2</v>
      </c>
      <c r="BA131" s="91" cm="1">
        <f t="array" ref="BA131">IFERROR(_xlfn.IFS($AB131="عدد الموظفين/الوحدة",V131*$AA131,$AB131='طريقة الحساب'!$B$2,V131*$AA131/الافتراضات!$B$27,$AB131='طريقة الحساب'!$B$3,V131*$AA131/الافتراضات!$B$26,$AB131='طريقة الحساب'!$B$4,V131*$AA131/الافتراضات!$B$28),"")</f>
        <v>6.2176165803108807E-2</v>
      </c>
      <c r="BB131" s="91" cm="1">
        <f t="array" ref="BB131">IFERROR(_xlfn.IFS($AB131="عدد الموظفين/الوحدة",W131*$AA131,$AB131='طريقة الحساب'!$B$2,W131*$AA131/الافتراضات!$B$27,$AB131='طريقة الحساب'!$B$3,W131*$AA131/الافتراضات!$B$26,$AB131='طريقة الحساب'!$B$4,W131*$AA131/الافتراضات!$B$28),"")</f>
        <v>6.2176165803108807E-2</v>
      </c>
      <c r="BC131" s="91" cm="1">
        <f t="array" ref="BC131">IFERROR(_xlfn.IFS($AB131="عدد الموظفين/الوحدة",X131*$AA131,$AB131='طريقة الحساب'!$B$2,X131*$AA131/الافتراضات!$B$27,$AB131='طريقة الحساب'!$B$3,X131*$AA131/الافتراضات!$B$26,$AB131='طريقة الحساب'!$B$4,X131*$AA131/الافتراضات!$B$28),"")</f>
        <v>6.2176165803108807E-2</v>
      </c>
      <c r="BD131" s="91" cm="1">
        <f t="array" ref="BD131">IFERROR(_xlfn.IFS($AB131="عدد الموظفين/الوحدة",Y131*$AA131,$AB131='طريقة الحساب'!$B$2,Y131*$AA131/الافتراضات!$B$27,$AB131='طريقة الحساب'!$B$3,Y131*$AA131/الافتراضات!$B$26,$AB131='طريقة الحساب'!$B$4,Y131*$AA131/الافتراضات!$B$28),"")</f>
        <v>6.2176165803108807E-2</v>
      </c>
      <c r="BE131" s="91" cm="1">
        <f t="array" ref="BE131">IFERROR(_xlfn.IFS($AB131="عدد الموظفين/الوحدة",Z131*$AA131,$AB131='طريقة الحساب'!$B$2,Z131*$AA131/الافتراضات!$B$27,$AB131='طريقة الحساب'!$B$3,Z131*$AA131/الافتراضات!$B$26,$AB131='طريقة الحساب'!$B$4,Z131*$AA131/الافتراضات!$B$28),"")</f>
        <v>0</v>
      </c>
      <c r="BF131" s="92"/>
    </row>
    <row r="132" spans="2:58" x14ac:dyDescent="0.35">
      <c r="B132" s="124" t="s">
        <v>87</v>
      </c>
      <c r="C132" s="131" t="s">
        <v>88</v>
      </c>
      <c r="D132" s="131" t="s">
        <v>90</v>
      </c>
      <c r="E132" s="138" t="s">
        <v>92</v>
      </c>
      <c r="F132" s="125" t="s">
        <v>214</v>
      </c>
      <c r="G132" s="126" t="s">
        <v>84</v>
      </c>
      <c r="H132" s="127"/>
      <c r="I132" s="132">
        <v>400</v>
      </c>
      <c r="J132" s="133">
        <v>400</v>
      </c>
      <c r="K132" s="133">
        <v>400</v>
      </c>
      <c r="L132" s="133">
        <v>400</v>
      </c>
      <c r="M132" s="133">
        <v>400</v>
      </c>
      <c r="N132" s="133">
        <v>400</v>
      </c>
      <c r="O132" s="133">
        <v>400</v>
      </c>
      <c r="P132" s="139">
        <v>25</v>
      </c>
      <c r="Q132" s="134" t="s">
        <v>45</v>
      </c>
      <c r="R132" s="128"/>
      <c r="S132" s="135">
        <v>400</v>
      </c>
      <c r="T132" s="135">
        <v>400</v>
      </c>
      <c r="U132" s="135">
        <v>400</v>
      </c>
      <c r="V132" s="135">
        <v>400</v>
      </c>
      <c r="W132" s="135">
        <v>400</v>
      </c>
      <c r="X132" s="135">
        <v>400</v>
      </c>
      <c r="Y132" s="135">
        <v>400</v>
      </c>
      <c r="Z132" s="79"/>
      <c r="AA132" s="135">
        <v>25</v>
      </c>
      <c r="AB132" s="136" t="s">
        <v>45</v>
      </c>
      <c r="AC132" s="80"/>
      <c r="AD132" s="81"/>
      <c r="AE132" s="82"/>
      <c r="AF132" s="82"/>
      <c r="AG132" s="82"/>
      <c r="AH132" s="82"/>
      <c r="AI132" s="82"/>
      <c r="AJ132" s="82"/>
      <c r="AK132" s="82"/>
      <c r="AL132" s="82"/>
      <c r="AM132" s="83"/>
      <c r="AN132" s="83"/>
      <c r="AO132" s="84" t="str">
        <f t="shared" si="16"/>
        <v>لا</v>
      </c>
      <c r="AP132" s="85" t="str">
        <f t="shared" si="17"/>
        <v/>
      </c>
      <c r="AQ132" s="84" t="str">
        <f t="shared" si="18"/>
        <v>لا</v>
      </c>
      <c r="AR132" s="85" t="str">
        <f t="shared" si="19"/>
        <v/>
      </c>
      <c r="AS132" s="86" t="str">
        <f t="shared" si="20"/>
        <v>لا</v>
      </c>
      <c r="AT132" s="87" t="str">
        <f t="shared" si="21"/>
        <v/>
      </c>
      <c r="AU132" s="88"/>
      <c r="AV132" s="89"/>
      <c r="AW132" s="90"/>
      <c r="AX132" s="91" cm="1">
        <f t="array" ref="AX132">IFERROR(_xlfn.IFS($AB132="عدد الموظفين/الوحدة",S132*$AA132,$AB132='طريقة الحساب'!$B$2,S132*$AA132/الافتراضات!$B$27,$AB132='طريقة الحساب'!$B$3,S132*$AA132/الافتراضات!$B$26,$AB132='طريقة الحساب'!$B$4,S132*$AA132/الافتراضات!$B$28),"")</f>
        <v>0.16818355294224188</v>
      </c>
      <c r="AY132" s="91" cm="1">
        <f t="array" ref="AY132">IFERROR(_xlfn.IFS($AB132="عدد الموظفين/الوحدة",T132*$AA132,$AB132='طريقة الحساب'!$B$2,T132*$AA132/الافتراضات!$B$27,$AB132='طريقة الحساب'!$B$3,T132*$AA132/الافتراضات!$B$26,$AB132='طريقة الحساب'!$B$4,T132*$AA132/الافتراضات!$B$28),"")</f>
        <v>0.16818355294224188</v>
      </c>
      <c r="AZ132" s="91" cm="1">
        <f t="array" ref="AZ132">IFERROR(_xlfn.IFS($AB132="عدد الموظفين/الوحدة",U132*$AA132,$AB132='طريقة الحساب'!$B$2,U132*$AA132/الافتراضات!$B$27,$AB132='طريقة الحساب'!$B$3,U132*$AA132/الافتراضات!$B$26,$AB132='طريقة الحساب'!$B$4,U132*$AA132/الافتراضات!$B$28),"")</f>
        <v>0.16818355294224188</v>
      </c>
      <c r="BA132" s="91" cm="1">
        <f t="array" ref="BA132">IFERROR(_xlfn.IFS($AB132="عدد الموظفين/الوحدة",V132*$AA132,$AB132='طريقة الحساب'!$B$2,V132*$AA132/الافتراضات!$B$27,$AB132='طريقة الحساب'!$B$3,V132*$AA132/الافتراضات!$B$26,$AB132='طريقة الحساب'!$B$4,V132*$AA132/الافتراضات!$B$28),"")</f>
        <v>0.16818355294224188</v>
      </c>
      <c r="BB132" s="91" cm="1">
        <f t="array" ref="BB132">IFERROR(_xlfn.IFS($AB132="عدد الموظفين/الوحدة",W132*$AA132,$AB132='طريقة الحساب'!$B$2,W132*$AA132/الافتراضات!$B$27,$AB132='طريقة الحساب'!$B$3,W132*$AA132/الافتراضات!$B$26,$AB132='طريقة الحساب'!$B$4,W132*$AA132/الافتراضات!$B$28),"")</f>
        <v>0.16818355294224188</v>
      </c>
      <c r="BC132" s="91" cm="1">
        <f t="array" ref="BC132">IFERROR(_xlfn.IFS($AB132="عدد الموظفين/الوحدة",X132*$AA132,$AB132='طريقة الحساب'!$B$2,X132*$AA132/الافتراضات!$B$27,$AB132='طريقة الحساب'!$B$3,X132*$AA132/الافتراضات!$B$26,$AB132='طريقة الحساب'!$B$4,X132*$AA132/الافتراضات!$B$28),"")</f>
        <v>0.16818355294224188</v>
      </c>
      <c r="BD132" s="91" cm="1">
        <f t="array" ref="BD132">IFERROR(_xlfn.IFS($AB132="عدد الموظفين/الوحدة",Y132*$AA132,$AB132='طريقة الحساب'!$B$2,Y132*$AA132/الافتراضات!$B$27,$AB132='طريقة الحساب'!$B$3,Y132*$AA132/الافتراضات!$B$26,$AB132='طريقة الحساب'!$B$4,Y132*$AA132/الافتراضات!$B$28),"")</f>
        <v>0.16818355294224188</v>
      </c>
      <c r="BE132" s="91" cm="1">
        <f t="array" ref="BE132">IFERROR(_xlfn.IFS($AB132="عدد الموظفين/الوحدة",Z132*$AA132,$AB132='طريقة الحساب'!$B$2,Z132*$AA132/الافتراضات!$B$27,$AB132='طريقة الحساب'!$B$3,Z132*$AA132/الافتراضات!$B$26,$AB132='طريقة الحساب'!$B$4,Z132*$AA132/الافتراضات!$B$28),"")</f>
        <v>0</v>
      </c>
      <c r="BF132" s="92"/>
    </row>
    <row r="133" spans="2:58" x14ac:dyDescent="0.35">
      <c r="B133" s="124" t="s">
        <v>87</v>
      </c>
      <c r="C133" s="131" t="s">
        <v>88</v>
      </c>
      <c r="D133" s="131" t="s">
        <v>90</v>
      </c>
      <c r="E133" s="138" t="s">
        <v>92</v>
      </c>
      <c r="F133" s="125" t="s">
        <v>215</v>
      </c>
      <c r="G133" s="126" t="s">
        <v>84</v>
      </c>
      <c r="H133" s="127"/>
      <c r="I133" s="132">
        <v>12</v>
      </c>
      <c r="J133" s="133">
        <v>12</v>
      </c>
      <c r="K133" s="133">
        <v>12</v>
      </c>
      <c r="L133" s="133">
        <v>12</v>
      </c>
      <c r="M133" s="133">
        <v>12</v>
      </c>
      <c r="N133" s="133">
        <v>12</v>
      </c>
      <c r="O133" s="133">
        <v>12</v>
      </c>
      <c r="P133" s="139">
        <v>1</v>
      </c>
      <c r="Q133" s="134" t="s">
        <v>32</v>
      </c>
      <c r="R133" s="128"/>
      <c r="S133" s="135">
        <v>12</v>
      </c>
      <c r="T133" s="135">
        <v>12</v>
      </c>
      <c r="U133" s="135">
        <v>12</v>
      </c>
      <c r="V133" s="135">
        <v>12</v>
      </c>
      <c r="W133" s="135">
        <v>12</v>
      </c>
      <c r="X133" s="135">
        <v>12</v>
      </c>
      <c r="Y133" s="135">
        <v>12</v>
      </c>
      <c r="Z133" s="79"/>
      <c r="AA133" s="135">
        <v>1</v>
      </c>
      <c r="AB133" s="136" t="s">
        <v>32</v>
      </c>
      <c r="AC133" s="80"/>
      <c r="AD133" s="81"/>
      <c r="AE133" s="82"/>
      <c r="AF133" s="82"/>
      <c r="AG133" s="82"/>
      <c r="AH133" s="82"/>
      <c r="AI133" s="82"/>
      <c r="AJ133" s="82"/>
      <c r="AK133" s="82"/>
      <c r="AL133" s="82"/>
      <c r="AM133" s="83"/>
      <c r="AN133" s="83"/>
      <c r="AO133" s="84" t="str">
        <f t="shared" si="16"/>
        <v>لا</v>
      </c>
      <c r="AP133" s="85" t="str">
        <f t="shared" si="17"/>
        <v/>
      </c>
      <c r="AQ133" s="84" t="str">
        <f t="shared" si="18"/>
        <v>لا</v>
      </c>
      <c r="AR133" s="85" t="str">
        <f t="shared" si="19"/>
        <v/>
      </c>
      <c r="AS133" s="86" t="str">
        <f t="shared" si="20"/>
        <v>لا</v>
      </c>
      <c r="AT133" s="87" t="str">
        <f t="shared" si="21"/>
        <v/>
      </c>
      <c r="AU133" s="88"/>
      <c r="AV133" s="89"/>
      <c r="AW133" s="90"/>
      <c r="AX133" s="91" cm="1">
        <f t="array" ref="AX133">IFERROR(_xlfn.IFS($AB133="عدد الموظفين/الوحدة",S133*$AA133,$AB133='طريقة الحساب'!$B$2,S133*$AA133/الافتراضات!$B$27,$AB133='طريقة الحساب'!$B$3,S133*$AA133/الافتراضات!$B$26,$AB133='طريقة الحساب'!$B$4,S133*$AA133/الافتراضات!$B$28),"")</f>
        <v>1.2109215811841415E-2</v>
      </c>
      <c r="AY133" s="91" cm="1">
        <f t="array" ref="AY133">IFERROR(_xlfn.IFS($AB133="عدد الموظفين/الوحدة",T133*$AA133,$AB133='طريقة الحساب'!$B$2,T133*$AA133/الافتراضات!$B$27,$AB133='طريقة الحساب'!$B$3,T133*$AA133/الافتراضات!$B$26,$AB133='طريقة الحساب'!$B$4,T133*$AA133/الافتراضات!$B$28),"")</f>
        <v>1.2109215811841415E-2</v>
      </c>
      <c r="AZ133" s="91" cm="1">
        <f t="array" ref="AZ133">IFERROR(_xlfn.IFS($AB133="عدد الموظفين/الوحدة",U133*$AA133,$AB133='طريقة الحساب'!$B$2,U133*$AA133/الافتراضات!$B$27,$AB133='طريقة الحساب'!$B$3,U133*$AA133/الافتراضات!$B$26,$AB133='طريقة الحساب'!$B$4,U133*$AA133/الافتراضات!$B$28),"")</f>
        <v>1.2109215811841415E-2</v>
      </c>
      <c r="BA133" s="91" cm="1">
        <f t="array" ref="BA133">IFERROR(_xlfn.IFS($AB133="عدد الموظفين/الوحدة",V133*$AA133,$AB133='طريقة الحساب'!$B$2,V133*$AA133/الافتراضات!$B$27,$AB133='طريقة الحساب'!$B$3,V133*$AA133/الافتراضات!$B$26,$AB133='طريقة الحساب'!$B$4,V133*$AA133/الافتراضات!$B$28),"")</f>
        <v>1.2109215811841415E-2</v>
      </c>
      <c r="BB133" s="91" cm="1">
        <f t="array" ref="BB133">IFERROR(_xlfn.IFS($AB133="عدد الموظفين/الوحدة",W133*$AA133,$AB133='طريقة الحساب'!$B$2,W133*$AA133/الافتراضات!$B$27,$AB133='طريقة الحساب'!$B$3,W133*$AA133/الافتراضات!$B$26,$AB133='طريقة الحساب'!$B$4,W133*$AA133/الافتراضات!$B$28),"")</f>
        <v>1.2109215811841415E-2</v>
      </c>
      <c r="BC133" s="91" cm="1">
        <f t="array" ref="BC133">IFERROR(_xlfn.IFS($AB133="عدد الموظفين/الوحدة",X133*$AA133,$AB133='طريقة الحساب'!$B$2,X133*$AA133/الافتراضات!$B$27,$AB133='طريقة الحساب'!$B$3,X133*$AA133/الافتراضات!$B$26,$AB133='طريقة الحساب'!$B$4,X133*$AA133/الافتراضات!$B$28),"")</f>
        <v>1.2109215811841415E-2</v>
      </c>
      <c r="BD133" s="91" cm="1">
        <f t="array" ref="BD133">IFERROR(_xlfn.IFS($AB133="عدد الموظفين/الوحدة",Y133*$AA133,$AB133='طريقة الحساب'!$B$2,Y133*$AA133/الافتراضات!$B$27,$AB133='طريقة الحساب'!$B$3,Y133*$AA133/الافتراضات!$B$26,$AB133='طريقة الحساب'!$B$4,Y133*$AA133/الافتراضات!$B$28),"")</f>
        <v>1.2109215811841415E-2</v>
      </c>
      <c r="BE133" s="91" cm="1">
        <f t="array" ref="BE133">IFERROR(_xlfn.IFS($AB133="عدد الموظفين/الوحدة",Z133*$AA133,$AB133='طريقة الحساب'!$B$2,Z133*$AA133/الافتراضات!$B$27,$AB133='طريقة الحساب'!$B$3,Z133*$AA133/الافتراضات!$B$26,$AB133='طريقة الحساب'!$B$4,Z133*$AA133/الافتراضات!$B$28),"")</f>
        <v>0</v>
      </c>
      <c r="BF133" s="92"/>
    </row>
    <row r="134" spans="2:58" x14ac:dyDescent="0.35">
      <c r="B134" s="124" t="s">
        <v>87</v>
      </c>
      <c r="C134" s="131" t="s">
        <v>88</v>
      </c>
      <c r="D134" s="131" t="s">
        <v>90</v>
      </c>
      <c r="E134" s="138" t="s">
        <v>92</v>
      </c>
      <c r="F134" s="125" t="s">
        <v>157</v>
      </c>
      <c r="G134" s="126" t="s">
        <v>84</v>
      </c>
      <c r="H134" s="127"/>
      <c r="I134" s="132">
        <v>96</v>
      </c>
      <c r="J134" s="133">
        <v>96</v>
      </c>
      <c r="K134" s="133">
        <v>96</v>
      </c>
      <c r="L134" s="133">
        <v>96</v>
      </c>
      <c r="M134" s="133">
        <v>96</v>
      </c>
      <c r="N134" s="133">
        <v>96</v>
      </c>
      <c r="O134" s="133">
        <v>96</v>
      </c>
      <c r="P134" s="139">
        <v>1</v>
      </c>
      <c r="Q134" s="134" t="s">
        <v>32</v>
      </c>
      <c r="R134" s="128"/>
      <c r="S134" s="135">
        <v>96</v>
      </c>
      <c r="T134" s="135">
        <v>96</v>
      </c>
      <c r="U134" s="135">
        <v>96</v>
      </c>
      <c r="V134" s="135">
        <v>96</v>
      </c>
      <c r="W134" s="135">
        <v>96</v>
      </c>
      <c r="X134" s="135">
        <v>96</v>
      </c>
      <c r="Y134" s="135">
        <v>96</v>
      </c>
      <c r="Z134" s="79"/>
      <c r="AA134" s="135">
        <v>1</v>
      </c>
      <c r="AB134" s="136" t="s">
        <v>32</v>
      </c>
      <c r="AC134" s="80"/>
      <c r="AD134" s="81"/>
      <c r="AE134" s="82"/>
      <c r="AF134" s="82"/>
      <c r="AG134" s="82"/>
      <c r="AH134" s="82"/>
      <c r="AI134" s="82"/>
      <c r="AJ134" s="82"/>
      <c r="AK134" s="82"/>
      <c r="AL134" s="82"/>
      <c r="AM134" s="83"/>
      <c r="AN134" s="83"/>
      <c r="AO134" s="84" t="str">
        <f t="shared" si="16"/>
        <v>لا</v>
      </c>
      <c r="AP134" s="85" t="str">
        <f t="shared" si="17"/>
        <v/>
      </c>
      <c r="AQ134" s="84" t="str">
        <f t="shared" si="18"/>
        <v>لا</v>
      </c>
      <c r="AR134" s="85" t="str">
        <f t="shared" si="19"/>
        <v/>
      </c>
      <c r="AS134" s="86" t="str">
        <f t="shared" si="20"/>
        <v>لا</v>
      </c>
      <c r="AT134" s="87" t="str">
        <f t="shared" si="21"/>
        <v/>
      </c>
      <c r="AU134" s="88"/>
      <c r="AV134" s="89"/>
      <c r="AW134" s="90"/>
      <c r="AX134" s="91" cm="1">
        <f t="array" ref="AX134">IFERROR(_xlfn.IFS($AB134="عدد الموظفين/الوحدة",S134*$AA134,$AB134='طريقة الحساب'!$B$2,S134*$AA134/الافتراضات!$B$27,$AB134='طريقة الحساب'!$B$3,S134*$AA134/الافتراضات!$B$26,$AB134='طريقة الحساب'!$B$4,S134*$AA134/الافتراضات!$B$28),"")</f>
        <v>9.6873726494731319E-2</v>
      </c>
      <c r="AY134" s="91" cm="1">
        <f t="array" ref="AY134">IFERROR(_xlfn.IFS($AB134="عدد الموظفين/الوحدة",T134*$AA134,$AB134='طريقة الحساب'!$B$2,T134*$AA134/الافتراضات!$B$27,$AB134='طريقة الحساب'!$B$3,T134*$AA134/الافتراضات!$B$26,$AB134='طريقة الحساب'!$B$4,T134*$AA134/الافتراضات!$B$28),"")</f>
        <v>9.6873726494731319E-2</v>
      </c>
      <c r="AZ134" s="91" cm="1">
        <f t="array" ref="AZ134">IFERROR(_xlfn.IFS($AB134="عدد الموظفين/الوحدة",U134*$AA134,$AB134='طريقة الحساب'!$B$2,U134*$AA134/الافتراضات!$B$27,$AB134='طريقة الحساب'!$B$3,U134*$AA134/الافتراضات!$B$26,$AB134='طريقة الحساب'!$B$4,U134*$AA134/الافتراضات!$B$28),"")</f>
        <v>9.6873726494731319E-2</v>
      </c>
      <c r="BA134" s="91" cm="1">
        <f t="array" ref="BA134">IFERROR(_xlfn.IFS($AB134="عدد الموظفين/الوحدة",V134*$AA134,$AB134='طريقة الحساب'!$B$2,V134*$AA134/الافتراضات!$B$27,$AB134='طريقة الحساب'!$B$3,V134*$AA134/الافتراضات!$B$26,$AB134='طريقة الحساب'!$B$4,V134*$AA134/الافتراضات!$B$28),"")</f>
        <v>9.6873726494731319E-2</v>
      </c>
      <c r="BB134" s="91" cm="1">
        <f t="array" ref="BB134">IFERROR(_xlfn.IFS($AB134="عدد الموظفين/الوحدة",W134*$AA134,$AB134='طريقة الحساب'!$B$2,W134*$AA134/الافتراضات!$B$27,$AB134='طريقة الحساب'!$B$3,W134*$AA134/الافتراضات!$B$26,$AB134='طريقة الحساب'!$B$4,W134*$AA134/الافتراضات!$B$28),"")</f>
        <v>9.6873726494731319E-2</v>
      </c>
      <c r="BC134" s="91" cm="1">
        <f t="array" ref="BC134">IFERROR(_xlfn.IFS($AB134="عدد الموظفين/الوحدة",X134*$AA134,$AB134='طريقة الحساب'!$B$2,X134*$AA134/الافتراضات!$B$27,$AB134='طريقة الحساب'!$B$3,X134*$AA134/الافتراضات!$B$26,$AB134='طريقة الحساب'!$B$4,X134*$AA134/الافتراضات!$B$28),"")</f>
        <v>9.6873726494731319E-2</v>
      </c>
      <c r="BD134" s="91" cm="1">
        <f t="array" ref="BD134">IFERROR(_xlfn.IFS($AB134="عدد الموظفين/الوحدة",Y134*$AA134,$AB134='طريقة الحساب'!$B$2,Y134*$AA134/الافتراضات!$B$27,$AB134='طريقة الحساب'!$B$3,Y134*$AA134/الافتراضات!$B$26,$AB134='طريقة الحساب'!$B$4,Y134*$AA134/الافتراضات!$B$28),"")</f>
        <v>9.6873726494731319E-2</v>
      </c>
      <c r="BE134" s="91" cm="1">
        <f t="array" ref="BE134">IFERROR(_xlfn.IFS($AB134="عدد الموظفين/الوحدة",Z134*$AA134,$AB134='طريقة الحساب'!$B$2,Z134*$AA134/الافتراضات!$B$27,$AB134='طريقة الحساب'!$B$3,Z134*$AA134/الافتراضات!$B$26,$AB134='طريقة الحساب'!$B$4,Z134*$AA134/الافتراضات!$B$28),"")</f>
        <v>0</v>
      </c>
      <c r="BF134" s="92"/>
    </row>
    <row r="135" spans="2:58" x14ac:dyDescent="0.35">
      <c r="B135" s="124" t="s">
        <v>87</v>
      </c>
      <c r="C135" s="131" t="s">
        <v>88</v>
      </c>
      <c r="D135" s="131" t="s">
        <v>90</v>
      </c>
      <c r="E135" s="138" t="s">
        <v>92</v>
      </c>
      <c r="F135" s="125" t="s">
        <v>158</v>
      </c>
      <c r="G135" s="126" t="s">
        <v>84</v>
      </c>
      <c r="H135" s="127"/>
      <c r="I135" s="132">
        <v>384</v>
      </c>
      <c r="J135" s="133">
        <v>384</v>
      </c>
      <c r="K135" s="133">
        <v>384</v>
      </c>
      <c r="L135" s="133">
        <v>384</v>
      </c>
      <c r="M135" s="133">
        <v>384</v>
      </c>
      <c r="N135" s="133">
        <v>384</v>
      </c>
      <c r="O135" s="133">
        <v>384</v>
      </c>
      <c r="P135" s="139">
        <v>10</v>
      </c>
      <c r="Q135" s="134" t="s">
        <v>45</v>
      </c>
      <c r="R135" s="128"/>
      <c r="S135" s="135">
        <v>384</v>
      </c>
      <c r="T135" s="135">
        <v>384</v>
      </c>
      <c r="U135" s="135">
        <v>384</v>
      </c>
      <c r="V135" s="135">
        <v>384</v>
      </c>
      <c r="W135" s="135">
        <v>384</v>
      </c>
      <c r="X135" s="135">
        <v>384</v>
      </c>
      <c r="Y135" s="135">
        <v>384</v>
      </c>
      <c r="Z135" s="79"/>
      <c r="AA135" s="135">
        <v>10</v>
      </c>
      <c r="AB135" s="136" t="s">
        <v>45</v>
      </c>
      <c r="AC135" s="80"/>
      <c r="AD135" s="81"/>
      <c r="AE135" s="82"/>
      <c r="AF135" s="82"/>
      <c r="AG135" s="82"/>
      <c r="AH135" s="82"/>
      <c r="AI135" s="82"/>
      <c r="AJ135" s="82"/>
      <c r="AK135" s="82"/>
      <c r="AL135" s="82"/>
      <c r="AM135" s="83"/>
      <c r="AN135" s="83"/>
      <c r="AO135" s="84" t="str">
        <f t="shared" si="16"/>
        <v>لا</v>
      </c>
      <c r="AP135" s="85" t="str">
        <f t="shared" si="17"/>
        <v/>
      </c>
      <c r="AQ135" s="84" t="str">
        <f t="shared" si="18"/>
        <v>لا</v>
      </c>
      <c r="AR135" s="85" t="str">
        <f t="shared" si="19"/>
        <v/>
      </c>
      <c r="AS135" s="86" t="str">
        <f t="shared" si="20"/>
        <v>لا</v>
      </c>
      <c r="AT135" s="87" t="str">
        <f t="shared" si="21"/>
        <v/>
      </c>
      <c r="AU135" s="88"/>
      <c r="AV135" s="89"/>
      <c r="AW135" s="90"/>
      <c r="AX135" s="91" cm="1">
        <f t="array" ref="AX135">IFERROR(_xlfn.IFS($AB135="عدد الموظفين/الوحدة",S135*$AA135,$AB135='طريقة الحساب'!$B$2,S135*$AA135/الافتراضات!$B$27,$AB135='طريقة الحساب'!$B$3,S135*$AA135/الافتراضات!$B$26,$AB135='طريقة الحساب'!$B$4,S135*$AA135/الافتراضات!$B$28),"")</f>
        <v>6.4582484329820888E-2</v>
      </c>
      <c r="AY135" s="91" cm="1">
        <f t="array" ref="AY135">IFERROR(_xlfn.IFS($AB135="عدد الموظفين/الوحدة",T135*$AA135,$AB135='طريقة الحساب'!$B$2,T135*$AA135/الافتراضات!$B$27,$AB135='طريقة الحساب'!$B$3,T135*$AA135/الافتراضات!$B$26,$AB135='طريقة الحساب'!$B$4,T135*$AA135/الافتراضات!$B$28),"")</f>
        <v>6.4582484329820888E-2</v>
      </c>
      <c r="AZ135" s="91" cm="1">
        <f t="array" ref="AZ135">IFERROR(_xlfn.IFS($AB135="عدد الموظفين/الوحدة",U135*$AA135,$AB135='طريقة الحساب'!$B$2,U135*$AA135/الافتراضات!$B$27,$AB135='طريقة الحساب'!$B$3,U135*$AA135/الافتراضات!$B$26,$AB135='طريقة الحساب'!$B$4,U135*$AA135/الافتراضات!$B$28),"")</f>
        <v>6.4582484329820888E-2</v>
      </c>
      <c r="BA135" s="91" cm="1">
        <f t="array" ref="BA135">IFERROR(_xlfn.IFS($AB135="عدد الموظفين/الوحدة",V135*$AA135,$AB135='طريقة الحساب'!$B$2,V135*$AA135/الافتراضات!$B$27,$AB135='طريقة الحساب'!$B$3,V135*$AA135/الافتراضات!$B$26,$AB135='طريقة الحساب'!$B$4,V135*$AA135/الافتراضات!$B$28),"")</f>
        <v>6.4582484329820888E-2</v>
      </c>
      <c r="BB135" s="91" cm="1">
        <f t="array" ref="BB135">IFERROR(_xlfn.IFS($AB135="عدد الموظفين/الوحدة",W135*$AA135,$AB135='طريقة الحساب'!$B$2,W135*$AA135/الافتراضات!$B$27,$AB135='طريقة الحساب'!$B$3,W135*$AA135/الافتراضات!$B$26,$AB135='طريقة الحساب'!$B$4,W135*$AA135/الافتراضات!$B$28),"")</f>
        <v>6.4582484329820888E-2</v>
      </c>
      <c r="BC135" s="91" cm="1">
        <f t="array" ref="BC135">IFERROR(_xlfn.IFS($AB135="عدد الموظفين/الوحدة",X135*$AA135,$AB135='طريقة الحساب'!$B$2,X135*$AA135/الافتراضات!$B$27,$AB135='طريقة الحساب'!$B$3,X135*$AA135/الافتراضات!$B$26,$AB135='طريقة الحساب'!$B$4,X135*$AA135/الافتراضات!$B$28),"")</f>
        <v>6.4582484329820888E-2</v>
      </c>
      <c r="BD135" s="91" cm="1">
        <f t="array" ref="BD135">IFERROR(_xlfn.IFS($AB135="عدد الموظفين/الوحدة",Y135*$AA135,$AB135='طريقة الحساب'!$B$2,Y135*$AA135/الافتراضات!$B$27,$AB135='طريقة الحساب'!$B$3,Y135*$AA135/الافتراضات!$B$26,$AB135='طريقة الحساب'!$B$4,Y135*$AA135/الافتراضات!$B$28),"")</f>
        <v>6.4582484329820888E-2</v>
      </c>
      <c r="BE135" s="91" cm="1">
        <f t="array" ref="BE135">IFERROR(_xlfn.IFS($AB135="عدد الموظفين/الوحدة",Z135*$AA135,$AB135='طريقة الحساب'!$B$2,Z135*$AA135/الافتراضات!$B$27,$AB135='طريقة الحساب'!$B$3,Z135*$AA135/الافتراضات!$B$26,$AB135='طريقة الحساب'!$B$4,Z135*$AA135/الافتراضات!$B$28),"")</f>
        <v>0</v>
      </c>
      <c r="BF135" s="92"/>
    </row>
    <row r="136" spans="2:58" x14ac:dyDescent="0.35">
      <c r="B136" s="124" t="s">
        <v>87</v>
      </c>
      <c r="C136" s="131" t="s">
        <v>88</v>
      </c>
      <c r="D136" s="131" t="s">
        <v>90</v>
      </c>
      <c r="E136" s="138" t="s">
        <v>92</v>
      </c>
      <c r="F136" s="125" t="s">
        <v>159</v>
      </c>
      <c r="G136" s="126" t="s">
        <v>84</v>
      </c>
      <c r="H136" s="127"/>
      <c r="I136" s="132">
        <v>384</v>
      </c>
      <c r="J136" s="133">
        <v>384</v>
      </c>
      <c r="K136" s="133">
        <v>384</v>
      </c>
      <c r="L136" s="133">
        <v>384</v>
      </c>
      <c r="M136" s="133">
        <v>384</v>
      </c>
      <c r="N136" s="133">
        <v>384</v>
      </c>
      <c r="O136" s="133">
        <v>384</v>
      </c>
      <c r="P136" s="139">
        <v>10</v>
      </c>
      <c r="Q136" s="134" t="s">
        <v>45</v>
      </c>
      <c r="R136" s="128"/>
      <c r="S136" s="135">
        <v>384</v>
      </c>
      <c r="T136" s="135">
        <v>384</v>
      </c>
      <c r="U136" s="135">
        <v>384</v>
      </c>
      <c r="V136" s="135">
        <v>384</v>
      </c>
      <c r="W136" s="135">
        <v>384</v>
      </c>
      <c r="X136" s="135">
        <v>384</v>
      </c>
      <c r="Y136" s="135">
        <v>384</v>
      </c>
      <c r="Z136" s="79"/>
      <c r="AA136" s="135">
        <v>10</v>
      </c>
      <c r="AB136" s="136" t="s">
        <v>45</v>
      </c>
      <c r="AC136" s="80"/>
      <c r="AD136" s="81"/>
      <c r="AE136" s="82"/>
      <c r="AF136" s="82"/>
      <c r="AG136" s="82"/>
      <c r="AH136" s="82"/>
      <c r="AI136" s="82"/>
      <c r="AJ136" s="82"/>
      <c r="AK136" s="82"/>
      <c r="AL136" s="82"/>
      <c r="AM136" s="83"/>
      <c r="AN136" s="83"/>
      <c r="AO136" s="84" t="str">
        <f t="shared" si="16"/>
        <v>لا</v>
      </c>
      <c r="AP136" s="85" t="str">
        <f t="shared" si="17"/>
        <v/>
      </c>
      <c r="AQ136" s="84" t="str">
        <f t="shared" si="18"/>
        <v>لا</v>
      </c>
      <c r="AR136" s="85" t="str">
        <f t="shared" si="19"/>
        <v/>
      </c>
      <c r="AS136" s="86" t="str">
        <f t="shared" si="20"/>
        <v>لا</v>
      </c>
      <c r="AT136" s="87" t="str">
        <f t="shared" si="21"/>
        <v/>
      </c>
      <c r="AU136" s="88"/>
      <c r="AV136" s="89"/>
      <c r="AW136" s="90"/>
      <c r="AX136" s="91" cm="1">
        <f t="array" ref="AX136">IFERROR(_xlfn.IFS($AB136="عدد الموظفين/الوحدة",S136*$AA136,$AB136='طريقة الحساب'!$B$2,S136*$AA136/الافتراضات!$B$27,$AB136='طريقة الحساب'!$B$3,S136*$AA136/الافتراضات!$B$26,$AB136='طريقة الحساب'!$B$4,S136*$AA136/الافتراضات!$B$28),"")</f>
        <v>6.4582484329820888E-2</v>
      </c>
      <c r="AY136" s="91" cm="1">
        <f t="array" ref="AY136">IFERROR(_xlfn.IFS($AB136="عدد الموظفين/الوحدة",T136*$AA136,$AB136='طريقة الحساب'!$B$2,T136*$AA136/الافتراضات!$B$27,$AB136='طريقة الحساب'!$B$3,T136*$AA136/الافتراضات!$B$26,$AB136='طريقة الحساب'!$B$4,T136*$AA136/الافتراضات!$B$28),"")</f>
        <v>6.4582484329820888E-2</v>
      </c>
      <c r="AZ136" s="91" cm="1">
        <f t="array" ref="AZ136">IFERROR(_xlfn.IFS($AB136="عدد الموظفين/الوحدة",U136*$AA136,$AB136='طريقة الحساب'!$B$2,U136*$AA136/الافتراضات!$B$27,$AB136='طريقة الحساب'!$B$3,U136*$AA136/الافتراضات!$B$26,$AB136='طريقة الحساب'!$B$4,U136*$AA136/الافتراضات!$B$28),"")</f>
        <v>6.4582484329820888E-2</v>
      </c>
      <c r="BA136" s="91" cm="1">
        <f t="array" ref="BA136">IFERROR(_xlfn.IFS($AB136="عدد الموظفين/الوحدة",V136*$AA136,$AB136='طريقة الحساب'!$B$2,V136*$AA136/الافتراضات!$B$27,$AB136='طريقة الحساب'!$B$3,V136*$AA136/الافتراضات!$B$26,$AB136='طريقة الحساب'!$B$4,V136*$AA136/الافتراضات!$B$28),"")</f>
        <v>6.4582484329820888E-2</v>
      </c>
      <c r="BB136" s="91" cm="1">
        <f t="array" ref="BB136">IFERROR(_xlfn.IFS($AB136="عدد الموظفين/الوحدة",W136*$AA136,$AB136='طريقة الحساب'!$B$2,W136*$AA136/الافتراضات!$B$27,$AB136='طريقة الحساب'!$B$3,W136*$AA136/الافتراضات!$B$26,$AB136='طريقة الحساب'!$B$4,W136*$AA136/الافتراضات!$B$28),"")</f>
        <v>6.4582484329820888E-2</v>
      </c>
      <c r="BC136" s="91" cm="1">
        <f t="array" ref="BC136">IFERROR(_xlfn.IFS($AB136="عدد الموظفين/الوحدة",X136*$AA136,$AB136='طريقة الحساب'!$B$2,X136*$AA136/الافتراضات!$B$27,$AB136='طريقة الحساب'!$B$3,X136*$AA136/الافتراضات!$B$26,$AB136='طريقة الحساب'!$B$4,X136*$AA136/الافتراضات!$B$28),"")</f>
        <v>6.4582484329820888E-2</v>
      </c>
      <c r="BD136" s="91" cm="1">
        <f t="array" ref="BD136">IFERROR(_xlfn.IFS($AB136="عدد الموظفين/الوحدة",Y136*$AA136,$AB136='طريقة الحساب'!$B$2,Y136*$AA136/الافتراضات!$B$27,$AB136='طريقة الحساب'!$B$3,Y136*$AA136/الافتراضات!$B$26,$AB136='طريقة الحساب'!$B$4,Y136*$AA136/الافتراضات!$B$28),"")</f>
        <v>6.4582484329820888E-2</v>
      </c>
      <c r="BE136" s="91" cm="1">
        <f t="array" ref="BE136">IFERROR(_xlfn.IFS($AB136="عدد الموظفين/الوحدة",Z136*$AA136,$AB136='طريقة الحساب'!$B$2,Z136*$AA136/الافتراضات!$B$27,$AB136='طريقة الحساب'!$B$3,Z136*$AA136/الافتراضات!$B$26,$AB136='طريقة الحساب'!$B$4,Z136*$AA136/الافتراضات!$B$28),"")</f>
        <v>0</v>
      </c>
      <c r="BF136" s="92"/>
    </row>
    <row r="137" spans="2:58" x14ac:dyDescent="0.35">
      <c r="B137" s="124" t="s">
        <v>87</v>
      </c>
      <c r="C137" s="131" t="s">
        <v>88</v>
      </c>
      <c r="D137" s="131" t="s">
        <v>90</v>
      </c>
      <c r="E137" s="138" t="s">
        <v>92</v>
      </c>
      <c r="F137" s="125" t="s">
        <v>160</v>
      </c>
      <c r="G137" s="126" t="s">
        <v>84</v>
      </c>
      <c r="H137" s="127"/>
      <c r="I137" s="132">
        <v>252</v>
      </c>
      <c r="J137" s="133">
        <v>252</v>
      </c>
      <c r="K137" s="133">
        <v>252</v>
      </c>
      <c r="L137" s="133">
        <v>252</v>
      </c>
      <c r="M137" s="133">
        <v>252</v>
      </c>
      <c r="N137" s="133">
        <v>252</v>
      </c>
      <c r="O137" s="133">
        <v>252</v>
      </c>
      <c r="P137" s="139">
        <v>30</v>
      </c>
      <c r="Q137" s="134" t="s">
        <v>45</v>
      </c>
      <c r="R137" s="128"/>
      <c r="S137" s="135">
        <v>252</v>
      </c>
      <c r="T137" s="135">
        <v>252</v>
      </c>
      <c r="U137" s="135">
        <v>252</v>
      </c>
      <c r="V137" s="135">
        <v>252</v>
      </c>
      <c r="W137" s="135">
        <v>252</v>
      </c>
      <c r="X137" s="135">
        <v>252</v>
      </c>
      <c r="Y137" s="135">
        <v>252</v>
      </c>
      <c r="Z137" s="79"/>
      <c r="AA137" s="135">
        <v>30</v>
      </c>
      <c r="AB137" s="136" t="s">
        <v>45</v>
      </c>
      <c r="AC137" s="80"/>
      <c r="AD137" s="81"/>
      <c r="AE137" s="82"/>
      <c r="AF137" s="82"/>
      <c r="AG137" s="82"/>
      <c r="AH137" s="82"/>
      <c r="AI137" s="82"/>
      <c r="AJ137" s="82"/>
      <c r="AK137" s="82"/>
      <c r="AL137" s="82"/>
      <c r="AM137" s="83"/>
      <c r="AN137" s="83"/>
      <c r="AO137" s="84" t="str">
        <f t="shared" si="16"/>
        <v>لا</v>
      </c>
      <c r="AP137" s="85" t="str">
        <f t="shared" si="17"/>
        <v/>
      </c>
      <c r="AQ137" s="84" t="str">
        <f t="shared" si="18"/>
        <v>لا</v>
      </c>
      <c r="AR137" s="85" t="str">
        <f t="shared" si="19"/>
        <v/>
      </c>
      <c r="AS137" s="86" t="str">
        <f t="shared" si="20"/>
        <v>لا</v>
      </c>
      <c r="AT137" s="87" t="str">
        <f t="shared" si="21"/>
        <v/>
      </c>
      <c r="AU137" s="88"/>
      <c r="AV137" s="89"/>
      <c r="AW137" s="90"/>
      <c r="AX137" s="91" cm="1">
        <f t="array" ref="AX137">IFERROR(_xlfn.IFS($AB137="عدد الموظفين/الوحدة",S137*$AA137,$AB137='طريقة الحساب'!$B$2,S137*$AA137/الافتراضات!$B$27,$AB137='طريقة الحساب'!$B$3,S137*$AA137/الافتراضات!$B$26,$AB137='طريقة الحساب'!$B$4,S137*$AA137/الافتراضات!$B$28),"")</f>
        <v>0.12714676602433486</v>
      </c>
      <c r="AY137" s="91" cm="1">
        <f t="array" ref="AY137">IFERROR(_xlfn.IFS($AB137="عدد الموظفين/الوحدة",T137*$AA137,$AB137='طريقة الحساب'!$B$2,T137*$AA137/الافتراضات!$B$27,$AB137='طريقة الحساب'!$B$3,T137*$AA137/الافتراضات!$B$26,$AB137='طريقة الحساب'!$B$4,T137*$AA137/الافتراضات!$B$28),"")</f>
        <v>0.12714676602433486</v>
      </c>
      <c r="AZ137" s="91" cm="1">
        <f t="array" ref="AZ137">IFERROR(_xlfn.IFS($AB137="عدد الموظفين/الوحدة",U137*$AA137,$AB137='طريقة الحساب'!$B$2,U137*$AA137/الافتراضات!$B$27,$AB137='طريقة الحساب'!$B$3,U137*$AA137/الافتراضات!$B$26,$AB137='طريقة الحساب'!$B$4,U137*$AA137/الافتراضات!$B$28),"")</f>
        <v>0.12714676602433486</v>
      </c>
      <c r="BA137" s="91" cm="1">
        <f t="array" ref="BA137">IFERROR(_xlfn.IFS($AB137="عدد الموظفين/الوحدة",V137*$AA137,$AB137='طريقة الحساب'!$B$2,V137*$AA137/الافتراضات!$B$27,$AB137='طريقة الحساب'!$B$3,V137*$AA137/الافتراضات!$B$26,$AB137='طريقة الحساب'!$B$4,V137*$AA137/الافتراضات!$B$28),"")</f>
        <v>0.12714676602433486</v>
      </c>
      <c r="BB137" s="91" cm="1">
        <f t="array" ref="BB137">IFERROR(_xlfn.IFS($AB137="عدد الموظفين/الوحدة",W137*$AA137,$AB137='طريقة الحساب'!$B$2,W137*$AA137/الافتراضات!$B$27,$AB137='طريقة الحساب'!$B$3,W137*$AA137/الافتراضات!$B$26,$AB137='طريقة الحساب'!$B$4,W137*$AA137/الافتراضات!$B$28),"")</f>
        <v>0.12714676602433486</v>
      </c>
      <c r="BC137" s="91" cm="1">
        <f t="array" ref="BC137">IFERROR(_xlfn.IFS($AB137="عدد الموظفين/الوحدة",X137*$AA137,$AB137='طريقة الحساب'!$B$2,X137*$AA137/الافتراضات!$B$27,$AB137='طريقة الحساب'!$B$3,X137*$AA137/الافتراضات!$B$26,$AB137='طريقة الحساب'!$B$4,X137*$AA137/الافتراضات!$B$28),"")</f>
        <v>0.12714676602433486</v>
      </c>
      <c r="BD137" s="91" cm="1">
        <f t="array" ref="BD137">IFERROR(_xlfn.IFS($AB137="عدد الموظفين/الوحدة",Y137*$AA137,$AB137='طريقة الحساب'!$B$2,Y137*$AA137/الافتراضات!$B$27,$AB137='طريقة الحساب'!$B$3,Y137*$AA137/الافتراضات!$B$26,$AB137='طريقة الحساب'!$B$4,Y137*$AA137/الافتراضات!$B$28),"")</f>
        <v>0.12714676602433486</v>
      </c>
      <c r="BE137" s="91" cm="1">
        <f t="array" ref="BE137">IFERROR(_xlfn.IFS($AB137="عدد الموظفين/الوحدة",Z137*$AA137,$AB137='طريقة الحساب'!$B$2,Z137*$AA137/الافتراضات!$B$27,$AB137='طريقة الحساب'!$B$3,Z137*$AA137/الافتراضات!$B$26,$AB137='طريقة الحساب'!$B$4,Z137*$AA137/الافتراضات!$B$28),"")</f>
        <v>0</v>
      </c>
      <c r="BF137" s="92"/>
    </row>
    <row r="138" spans="2:58" x14ac:dyDescent="0.35">
      <c r="B138" s="124" t="s">
        <v>87</v>
      </c>
      <c r="C138" s="131" t="s">
        <v>88</v>
      </c>
      <c r="D138" s="131" t="s">
        <v>90</v>
      </c>
      <c r="E138" s="138" t="s">
        <v>92</v>
      </c>
      <c r="F138" s="125" t="s">
        <v>161</v>
      </c>
      <c r="G138" s="126" t="s">
        <v>84</v>
      </c>
      <c r="H138" s="127"/>
      <c r="I138" s="132">
        <v>384</v>
      </c>
      <c r="J138" s="133">
        <v>384</v>
      </c>
      <c r="K138" s="133">
        <v>384</v>
      </c>
      <c r="L138" s="133">
        <v>384</v>
      </c>
      <c r="M138" s="133">
        <v>384</v>
      </c>
      <c r="N138" s="133">
        <v>384</v>
      </c>
      <c r="O138" s="133">
        <v>384</v>
      </c>
      <c r="P138" s="139">
        <v>10</v>
      </c>
      <c r="Q138" s="134" t="s">
        <v>45</v>
      </c>
      <c r="R138" s="128"/>
      <c r="S138" s="135">
        <v>384</v>
      </c>
      <c r="T138" s="135">
        <v>384</v>
      </c>
      <c r="U138" s="135">
        <v>384</v>
      </c>
      <c r="V138" s="135">
        <v>384</v>
      </c>
      <c r="W138" s="135">
        <v>384</v>
      </c>
      <c r="X138" s="135">
        <v>384</v>
      </c>
      <c r="Y138" s="135">
        <v>384</v>
      </c>
      <c r="Z138" s="79"/>
      <c r="AA138" s="135">
        <v>10</v>
      </c>
      <c r="AB138" s="136" t="s">
        <v>45</v>
      </c>
      <c r="AC138" s="80"/>
      <c r="AD138" s="81"/>
      <c r="AE138" s="82"/>
      <c r="AF138" s="82"/>
      <c r="AG138" s="82"/>
      <c r="AH138" s="82"/>
      <c r="AI138" s="82"/>
      <c r="AJ138" s="82"/>
      <c r="AK138" s="82"/>
      <c r="AL138" s="82"/>
      <c r="AM138" s="83"/>
      <c r="AN138" s="83"/>
      <c r="AO138" s="84" t="str">
        <f t="shared" si="16"/>
        <v>لا</v>
      </c>
      <c r="AP138" s="85" t="str">
        <f t="shared" si="17"/>
        <v/>
      </c>
      <c r="AQ138" s="84" t="str">
        <f t="shared" si="18"/>
        <v>لا</v>
      </c>
      <c r="AR138" s="85" t="str">
        <f t="shared" si="19"/>
        <v/>
      </c>
      <c r="AS138" s="86" t="str">
        <f t="shared" si="20"/>
        <v>لا</v>
      </c>
      <c r="AT138" s="87" t="str">
        <f t="shared" si="21"/>
        <v/>
      </c>
      <c r="AU138" s="88"/>
      <c r="AV138" s="89"/>
      <c r="AW138" s="90"/>
      <c r="AX138" s="91" cm="1">
        <f t="array" ref="AX138">IFERROR(_xlfn.IFS($AB138="عدد الموظفين/الوحدة",S138*$AA138,$AB138='طريقة الحساب'!$B$2,S138*$AA138/الافتراضات!$B$27,$AB138='طريقة الحساب'!$B$3,S138*$AA138/الافتراضات!$B$26,$AB138='طريقة الحساب'!$B$4,S138*$AA138/الافتراضات!$B$28),"")</f>
        <v>6.4582484329820888E-2</v>
      </c>
      <c r="AY138" s="91" cm="1">
        <f t="array" ref="AY138">IFERROR(_xlfn.IFS($AB138="عدد الموظفين/الوحدة",T138*$AA138,$AB138='طريقة الحساب'!$B$2,T138*$AA138/الافتراضات!$B$27,$AB138='طريقة الحساب'!$B$3,T138*$AA138/الافتراضات!$B$26,$AB138='طريقة الحساب'!$B$4,T138*$AA138/الافتراضات!$B$28),"")</f>
        <v>6.4582484329820888E-2</v>
      </c>
      <c r="AZ138" s="91" cm="1">
        <f t="array" ref="AZ138">IFERROR(_xlfn.IFS($AB138="عدد الموظفين/الوحدة",U138*$AA138,$AB138='طريقة الحساب'!$B$2,U138*$AA138/الافتراضات!$B$27,$AB138='طريقة الحساب'!$B$3,U138*$AA138/الافتراضات!$B$26,$AB138='طريقة الحساب'!$B$4,U138*$AA138/الافتراضات!$B$28),"")</f>
        <v>6.4582484329820888E-2</v>
      </c>
      <c r="BA138" s="91" cm="1">
        <f t="array" ref="BA138">IFERROR(_xlfn.IFS($AB138="عدد الموظفين/الوحدة",V138*$AA138,$AB138='طريقة الحساب'!$B$2,V138*$AA138/الافتراضات!$B$27,$AB138='طريقة الحساب'!$B$3,V138*$AA138/الافتراضات!$B$26,$AB138='طريقة الحساب'!$B$4,V138*$AA138/الافتراضات!$B$28),"")</f>
        <v>6.4582484329820888E-2</v>
      </c>
      <c r="BB138" s="91" cm="1">
        <f t="array" ref="BB138">IFERROR(_xlfn.IFS($AB138="عدد الموظفين/الوحدة",W138*$AA138,$AB138='طريقة الحساب'!$B$2,W138*$AA138/الافتراضات!$B$27,$AB138='طريقة الحساب'!$B$3,W138*$AA138/الافتراضات!$B$26,$AB138='طريقة الحساب'!$B$4,W138*$AA138/الافتراضات!$B$28),"")</f>
        <v>6.4582484329820888E-2</v>
      </c>
      <c r="BC138" s="91" cm="1">
        <f t="array" ref="BC138">IFERROR(_xlfn.IFS($AB138="عدد الموظفين/الوحدة",X138*$AA138,$AB138='طريقة الحساب'!$B$2,X138*$AA138/الافتراضات!$B$27,$AB138='طريقة الحساب'!$B$3,X138*$AA138/الافتراضات!$B$26,$AB138='طريقة الحساب'!$B$4,X138*$AA138/الافتراضات!$B$28),"")</f>
        <v>6.4582484329820888E-2</v>
      </c>
      <c r="BD138" s="91" cm="1">
        <f t="array" ref="BD138">IFERROR(_xlfn.IFS($AB138="عدد الموظفين/الوحدة",Y138*$AA138,$AB138='طريقة الحساب'!$B$2,Y138*$AA138/الافتراضات!$B$27,$AB138='طريقة الحساب'!$B$3,Y138*$AA138/الافتراضات!$B$26,$AB138='طريقة الحساب'!$B$4,Y138*$AA138/الافتراضات!$B$28),"")</f>
        <v>6.4582484329820888E-2</v>
      </c>
      <c r="BE138" s="91" cm="1">
        <f t="array" ref="BE138">IFERROR(_xlfn.IFS($AB138="عدد الموظفين/الوحدة",Z138*$AA138,$AB138='طريقة الحساب'!$B$2,Z138*$AA138/الافتراضات!$B$27,$AB138='طريقة الحساب'!$B$3,Z138*$AA138/الافتراضات!$B$26,$AB138='طريقة الحساب'!$B$4,Z138*$AA138/الافتراضات!$B$28),"")</f>
        <v>0</v>
      </c>
      <c r="BF138" s="92"/>
    </row>
    <row r="139" spans="2:58" x14ac:dyDescent="0.35">
      <c r="B139" s="124" t="s">
        <v>87</v>
      </c>
      <c r="C139" s="131" t="s">
        <v>88</v>
      </c>
      <c r="D139" s="131" t="s">
        <v>90</v>
      </c>
      <c r="E139" s="138" t="s">
        <v>92</v>
      </c>
      <c r="F139" s="125" t="s">
        <v>162</v>
      </c>
      <c r="G139" s="126" t="s">
        <v>84</v>
      </c>
      <c r="H139" s="127"/>
      <c r="I139" s="132">
        <v>192</v>
      </c>
      <c r="J139" s="133">
        <v>192</v>
      </c>
      <c r="K139" s="133">
        <v>192</v>
      </c>
      <c r="L139" s="133">
        <v>192</v>
      </c>
      <c r="M139" s="133">
        <v>192</v>
      </c>
      <c r="N139" s="133">
        <v>192</v>
      </c>
      <c r="O139" s="133">
        <v>192</v>
      </c>
      <c r="P139" s="139">
        <v>30</v>
      </c>
      <c r="Q139" s="134" t="s">
        <v>45</v>
      </c>
      <c r="R139" s="128"/>
      <c r="S139" s="135">
        <v>192</v>
      </c>
      <c r="T139" s="135">
        <v>192</v>
      </c>
      <c r="U139" s="135">
        <v>192</v>
      </c>
      <c r="V139" s="135">
        <v>192</v>
      </c>
      <c r="W139" s="135">
        <v>192</v>
      </c>
      <c r="X139" s="135">
        <v>192</v>
      </c>
      <c r="Y139" s="135">
        <v>192</v>
      </c>
      <c r="Z139" s="79"/>
      <c r="AA139" s="135">
        <v>30</v>
      </c>
      <c r="AB139" s="136" t="s">
        <v>45</v>
      </c>
      <c r="AC139" s="80"/>
      <c r="AD139" s="81"/>
      <c r="AE139" s="82"/>
      <c r="AF139" s="82"/>
      <c r="AG139" s="82"/>
      <c r="AH139" s="82"/>
      <c r="AI139" s="82"/>
      <c r="AJ139" s="82"/>
      <c r="AK139" s="82"/>
      <c r="AL139" s="82"/>
      <c r="AM139" s="83"/>
      <c r="AN139" s="83"/>
      <c r="AO139" s="84" t="str">
        <f t="shared" si="16"/>
        <v>لا</v>
      </c>
      <c r="AP139" s="85" t="str">
        <f t="shared" si="17"/>
        <v/>
      </c>
      <c r="AQ139" s="84" t="str">
        <f t="shared" si="18"/>
        <v>لا</v>
      </c>
      <c r="AR139" s="85" t="str">
        <f t="shared" si="19"/>
        <v/>
      </c>
      <c r="AS139" s="86" t="str">
        <f t="shared" si="20"/>
        <v>لا</v>
      </c>
      <c r="AT139" s="87" t="str">
        <f t="shared" si="21"/>
        <v/>
      </c>
      <c r="AU139" s="88"/>
      <c r="AV139" s="89"/>
      <c r="AW139" s="90"/>
      <c r="AX139" s="91" cm="1">
        <f t="array" ref="AX139">IFERROR(_xlfn.IFS($AB139="عدد الموظفين/الوحدة",S139*$AA139,$AB139='طريقة الحساب'!$B$2,S139*$AA139/الافتراضات!$B$27,$AB139='طريقة الحساب'!$B$3,S139*$AA139/الافتراضات!$B$26,$AB139='طريقة الحساب'!$B$4,S139*$AA139/الافتراضات!$B$28),"")</f>
        <v>9.6873726494731319E-2</v>
      </c>
      <c r="AY139" s="91" cm="1">
        <f t="array" ref="AY139">IFERROR(_xlfn.IFS($AB139="عدد الموظفين/الوحدة",T139*$AA139,$AB139='طريقة الحساب'!$B$2,T139*$AA139/الافتراضات!$B$27,$AB139='طريقة الحساب'!$B$3,T139*$AA139/الافتراضات!$B$26,$AB139='طريقة الحساب'!$B$4,T139*$AA139/الافتراضات!$B$28),"")</f>
        <v>9.6873726494731319E-2</v>
      </c>
      <c r="AZ139" s="91" cm="1">
        <f t="array" ref="AZ139">IFERROR(_xlfn.IFS($AB139="عدد الموظفين/الوحدة",U139*$AA139,$AB139='طريقة الحساب'!$B$2,U139*$AA139/الافتراضات!$B$27,$AB139='طريقة الحساب'!$B$3,U139*$AA139/الافتراضات!$B$26,$AB139='طريقة الحساب'!$B$4,U139*$AA139/الافتراضات!$B$28),"")</f>
        <v>9.6873726494731319E-2</v>
      </c>
      <c r="BA139" s="91" cm="1">
        <f t="array" ref="BA139">IFERROR(_xlfn.IFS($AB139="عدد الموظفين/الوحدة",V139*$AA139,$AB139='طريقة الحساب'!$B$2,V139*$AA139/الافتراضات!$B$27,$AB139='طريقة الحساب'!$B$3,V139*$AA139/الافتراضات!$B$26,$AB139='طريقة الحساب'!$B$4,V139*$AA139/الافتراضات!$B$28),"")</f>
        <v>9.6873726494731319E-2</v>
      </c>
      <c r="BB139" s="91" cm="1">
        <f t="array" ref="BB139">IFERROR(_xlfn.IFS($AB139="عدد الموظفين/الوحدة",W139*$AA139,$AB139='طريقة الحساب'!$B$2,W139*$AA139/الافتراضات!$B$27,$AB139='طريقة الحساب'!$B$3,W139*$AA139/الافتراضات!$B$26,$AB139='طريقة الحساب'!$B$4,W139*$AA139/الافتراضات!$B$28),"")</f>
        <v>9.6873726494731319E-2</v>
      </c>
      <c r="BC139" s="91" cm="1">
        <f t="array" ref="BC139">IFERROR(_xlfn.IFS($AB139="عدد الموظفين/الوحدة",X139*$AA139,$AB139='طريقة الحساب'!$B$2,X139*$AA139/الافتراضات!$B$27,$AB139='طريقة الحساب'!$B$3,X139*$AA139/الافتراضات!$B$26,$AB139='طريقة الحساب'!$B$4,X139*$AA139/الافتراضات!$B$28),"")</f>
        <v>9.6873726494731319E-2</v>
      </c>
      <c r="BD139" s="91" cm="1">
        <f t="array" ref="BD139">IFERROR(_xlfn.IFS($AB139="عدد الموظفين/الوحدة",Y139*$AA139,$AB139='طريقة الحساب'!$B$2,Y139*$AA139/الافتراضات!$B$27,$AB139='طريقة الحساب'!$B$3,Y139*$AA139/الافتراضات!$B$26,$AB139='طريقة الحساب'!$B$4,Y139*$AA139/الافتراضات!$B$28),"")</f>
        <v>9.6873726494731319E-2</v>
      </c>
      <c r="BE139" s="91" cm="1">
        <f t="array" ref="BE139">IFERROR(_xlfn.IFS($AB139="عدد الموظفين/الوحدة",Z139*$AA139,$AB139='طريقة الحساب'!$B$2,Z139*$AA139/الافتراضات!$B$27,$AB139='طريقة الحساب'!$B$3,Z139*$AA139/الافتراضات!$B$26,$AB139='طريقة الحساب'!$B$4,Z139*$AA139/الافتراضات!$B$28),"")</f>
        <v>0</v>
      </c>
      <c r="BF139" s="92"/>
    </row>
    <row r="140" spans="2:58" x14ac:dyDescent="0.35">
      <c r="B140" s="124" t="s">
        <v>87</v>
      </c>
      <c r="C140" s="131" t="s">
        <v>88</v>
      </c>
      <c r="D140" s="131" t="s">
        <v>90</v>
      </c>
      <c r="E140" s="138" t="s">
        <v>92</v>
      </c>
      <c r="F140" s="125" t="s">
        <v>163</v>
      </c>
      <c r="G140" s="126" t="s">
        <v>84</v>
      </c>
      <c r="H140" s="127"/>
      <c r="I140" s="132">
        <v>192</v>
      </c>
      <c r="J140" s="133">
        <v>192</v>
      </c>
      <c r="K140" s="133">
        <v>192</v>
      </c>
      <c r="L140" s="133">
        <v>192</v>
      </c>
      <c r="M140" s="133">
        <v>192</v>
      </c>
      <c r="N140" s="133">
        <v>192</v>
      </c>
      <c r="O140" s="133">
        <v>192</v>
      </c>
      <c r="P140" s="139">
        <v>30</v>
      </c>
      <c r="Q140" s="134" t="s">
        <v>45</v>
      </c>
      <c r="R140" s="128"/>
      <c r="S140" s="135">
        <v>192</v>
      </c>
      <c r="T140" s="135">
        <v>192</v>
      </c>
      <c r="U140" s="135">
        <v>192</v>
      </c>
      <c r="V140" s="135">
        <v>192</v>
      </c>
      <c r="W140" s="135">
        <v>192</v>
      </c>
      <c r="X140" s="135">
        <v>192</v>
      </c>
      <c r="Y140" s="135">
        <v>192</v>
      </c>
      <c r="Z140" s="79"/>
      <c r="AA140" s="135">
        <v>30</v>
      </c>
      <c r="AB140" s="136" t="s">
        <v>45</v>
      </c>
      <c r="AC140" s="80"/>
      <c r="AD140" s="81"/>
      <c r="AE140" s="82"/>
      <c r="AF140" s="82"/>
      <c r="AG140" s="82"/>
      <c r="AH140" s="82"/>
      <c r="AI140" s="82"/>
      <c r="AJ140" s="82"/>
      <c r="AK140" s="82"/>
      <c r="AL140" s="82"/>
      <c r="AM140" s="83"/>
      <c r="AN140" s="83"/>
      <c r="AO140" s="84" t="str">
        <f t="shared" si="16"/>
        <v>لا</v>
      </c>
      <c r="AP140" s="85" t="str">
        <f t="shared" si="17"/>
        <v/>
      </c>
      <c r="AQ140" s="84" t="str">
        <f t="shared" si="18"/>
        <v>لا</v>
      </c>
      <c r="AR140" s="85" t="str">
        <f t="shared" si="19"/>
        <v/>
      </c>
      <c r="AS140" s="86" t="str">
        <f t="shared" si="20"/>
        <v>لا</v>
      </c>
      <c r="AT140" s="87" t="str">
        <f t="shared" si="21"/>
        <v/>
      </c>
      <c r="AU140" s="88"/>
      <c r="AV140" s="89"/>
      <c r="AW140" s="90"/>
      <c r="AX140" s="91" cm="1">
        <f t="array" ref="AX140">IFERROR(_xlfn.IFS($AB140="عدد الموظفين/الوحدة",S140*$AA140,$AB140='طريقة الحساب'!$B$2,S140*$AA140/الافتراضات!$B$27,$AB140='طريقة الحساب'!$B$3,S140*$AA140/الافتراضات!$B$26,$AB140='طريقة الحساب'!$B$4,S140*$AA140/الافتراضات!$B$28),"")</f>
        <v>9.6873726494731319E-2</v>
      </c>
      <c r="AY140" s="91" cm="1">
        <f t="array" ref="AY140">IFERROR(_xlfn.IFS($AB140="عدد الموظفين/الوحدة",T140*$AA140,$AB140='طريقة الحساب'!$B$2,T140*$AA140/الافتراضات!$B$27,$AB140='طريقة الحساب'!$B$3,T140*$AA140/الافتراضات!$B$26,$AB140='طريقة الحساب'!$B$4,T140*$AA140/الافتراضات!$B$28),"")</f>
        <v>9.6873726494731319E-2</v>
      </c>
      <c r="AZ140" s="91" cm="1">
        <f t="array" ref="AZ140">IFERROR(_xlfn.IFS($AB140="عدد الموظفين/الوحدة",U140*$AA140,$AB140='طريقة الحساب'!$B$2,U140*$AA140/الافتراضات!$B$27,$AB140='طريقة الحساب'!$B$3,U140*$AA140/الافتراضات!$B$26,$AB140='طريقة الحساب'!$B$4,U140*$AA140/الافتراضات!$B$28),"")</f>
        <v>9.6873726494731319E-2</v>
      </c>
      <c r="BA140" s="91" cm="1">
        <f t="array" ref="BA140">IFERROR(_xlfn.IFS($AB140="عدد الموظفين/الوحدة",V140*$AA140,$AB140='طريقة الحساب'!$B$2,V140*$AA140/الافتراضات!$B$27,$AB140='طريقة الحساب'!$B$3,V140*$AA140/الافتراضات!$B$26,$AB140='طريقة الحساب'!$B$4,V140*$AA140/الافتراضات!$B$28),"")</f>
        <v>9.6873726494731319E-2</v>
      </c>
      <c r="BB140" s="91" cm="1">
        <f t="array" ref="BB140">IFERROR(_xlfn.IFS($AB140="عدد الموظفين/الوحدة",W140*$AA140,$AB140='طريقة الحساب'!$B$2,W140*$AA140/الافتراضات!$B$27,$AB140='طريقة الحساب'!$B$3,W140*$AA140/الافتراضات!$B$26,$AB140='طريقة الحساب'!$B$4,W140*$AA140/الافتراضات!$B$28),"")</f>
        <v>9.6873726494731319E-2</v>
      </c>
      <c r="BC140" s="91" cm="1">
        <f t="array" ref="BC140">IFERROR(_xlfn.IFS($AB140="عدد الموظفين/الوحدة",X140*$AA140,$AB140='طريقة الحساب'!$B$2,X140*$AA140/الافتراضات!$B$27,$AB140='طريقة الحساب'!$B$3,X140*$AA140/الافتراضات!$B$26,$AB140='طريقة الحساب'!$B$4,X140*$AA140/الافتراضات!$B$28),"")</f>
        <v>9.6873726494731319E-2</v>
      </c>
      <c r="BD140" s="91" cm="1">
        <f t="array" ref="BD140">IFERROR(_xlfn.IFS($AB140="عدد الموظفين/الوحدة",Y140*$AA140,$AB140='طريقة الحساب'!$B$2,Y140*$AA140/الافتراضات!$B$27,$AB140='طريقة الحساب'!$B$3,Y140*$AA140/الافتراضات!$B$26,$AB140='طريقة الحساب'!$B$4,Y140*$AA140/الافتراضات!$B$28),"")</f>
        <v>9.6873726494731319E-2</v>
      </c>
      <c r="BE140" s="91" cm="1">
        <f t="array" ref="BE140">IFERROR(_xlfn.IFS($AB140="عدد الموظفين/الوحدة",Z140*$AA140,$AB140='طريقة الحساب'!$B$2,Z140*$AA140/الافتراضات!$B$27,$AB140='طريقة الحساب'!$B$3,Z140*$AA140/الافتراضات!$B$26,$AB140='طريقة الحساب'!$B$4,Z140*$AA140/الافتراضات!$B$28),"")</f>
        <v>0</v>
      </c>
      <c r="BF140" s="92"/>
    </row>
    <row r="141" spans="2:58" x14ac:dyDescent="0.35">
      <c r="B141" s="124" t="s">
        <v>87</v>
      </c>
      <c r="C141" s="131" t="s">
        <v>88</v>
      </c>
      <c r="D141" s="131" t="s">
        <v>90</v>
      </c>
      <c r="E141" s="138" t="s">
        <v>92</v>
      </c>
      <c r="F141" s="125" t="s">
        <v>164</v>
      </c>
      <c r="G141" s="126" t="s">
        <v>84</v>
      </c>
      <c r="H141" s="127"/>
      <c r="I141" s="132">
        <v>48</v>
      </c>
      <c r="J141" s="133">
        <v>48</v>
      </c>
      <c r="K141" s="133">
        <v>48</v>
      </c>
      <c r="L141" s="133">
        <v>48</v>
      </c>
      <c r="M141" s="133">
        <v>48</v>
      </c>
      <c r="N141" s="133">
        <v>48</v>
      </c>
      <c r="O141" s="133">
        <v>48</v>
      </c>
      <c r="P141" s="139">
        <v>20</v>
      </c>
      <c r="Q141" s="134" t="s">
        <v>45</v>
      </c>
      <c r="R141" s="128"/>
      <c r="S141" s="135">
        <v>48</v>
      </c>
      <c r="T141" s="135">
        <v>48</v>
      </c>
      <c r="U141" s="135">
        <v>48</v>
      </c>
      <c r="V141" s="135">
        <v>48</v>
      </c>
      <c r="W141" s="135">
        <v>48</v>
      </c>
      <c r="X141" s="135">
        <v>48</v>
      </c>
      <c r="Y141" s="135">
        <v>48</v>
      </c>
      <c r="Z141" s="79"/>
      <c r="AA141" s="135">
        <v>20</v>
      </c>
      <c r="AB141" s="136" t="s">
        <v>45</v>
      </c>
      <c r="AC141" s="80"/>
      <c r="AD141" s="81"/>
      <c r="AE141" s="82"/>
      <c r="AF141" s="82"/>
      <c r="AG141" s="82"/>
      <c r="AH141" s="82"/>
      <c r="AI141" s="82"/>
      <c r="AJ141" s="82"/>
      <c r="AK141" s="82"/>
      <c r="AL141" s="82"/>
      <c r="AM141" s="83"/>
      <c r="AN141" s="83"/>
      <c r="AO141" s="84" t="str">
        <f t="shared" si="16"/>
        <v>لا</v>
      </c>
      <c r="AP141" s="85" t="str">
        <f t="shared" si="17"/>
        <v/>
      </c>
      <c r="AQ141" s="84" t="str">
        <f t="shared" si="18"/>
        <v>لا</v>
      </c>
      <c r="AR141" s="85" t="str">
        <f t="shared" si="19"/>
        <v/>
      </c>
      <c r="AS141" s="86" t="str">
        <f t="shared" si="20"/>
        <v>لا</v>
      </c>
      <c r="AT141" s="87" t="str">
        <f t="shared" si="21"/>
        <v/>
      </c>
      <c r="AU141" s="88"/>
      <c r="AV141" s="89"/>
      <c r="AW141" s="90"/>
      <c r="AX141" s="91" cm="1">
        <f t="array" ref="AX141">IFERROR(_xlfn.IFS($AB141="عدد الموظفين/الوحدة",S141*$AA141,$AB141='طريقة الحساب'!$B$2,S141*$AA141/الافتراضات!$B$27,$AB141='طريقة الحساب'!$B$3,S141*$AA141/الافتراضات!$B$26,$AB141='طريقة الحساب'!$B$4,S141*$AA141/الافتراضات!$B$28),"")</f>
        <v>1.6145621082455222E-2</v>
      </c>
      <c r="AY141" s="91" cm="1">
        <f t="array" ref="AY141">IFERROR(_xlfn.IFS($AB141="عدد الموظفين/الوحدة",T141*$AA141,$AB141='طريقة الحساب'!$B$2,T141*$AA141/الافتراضات!$B$27,$AB141='طريقة الحساب'!$B$3,T141*$AA141/الافتراضات!$B$26,$AB141='طريقة الحساب'!$B$4,T141*$AA141/الافتراضات!$B$28),"")</f>
        <v>1.6145621082455222E-2</v>
      </c>
      <c r="AZ141" s="91" cm="1">
        <f t="array" ref="AZ141">IFERROR(_xlfn.IFS($AB141="عدد الموظفين/الوحدة",U141*$AA141,$AB141='طريقة الحساب'!$B$2,U141*$AA141/الافتراضات!$B$27,$AB141='طريقة الحساب'!$B$3,U141*$AA141/الافتراضات!$B$26,$AB141='طريقة الحساب'!$B$4,U141*$AA141/الافتراضات!$B$28),"")</f>
        <v>1.6145621082455222E-2</v>
      </c>
      <c r="BA141" s="91" cm="1">
        <f t="array" ref="BA141">IFERROR(_xlfn.IFS($AB141="عدد الموظفين/الوحدة",V141*$AA141,$AB141='طريقة الحساب'!$B$2,V141*$AA141/الافتراضات!$B$27,$AB141='طريقة الحساب'!$B$3,V141*$AA141/الافتراضات!$B$26,$AB141='طريقة الحساب'!$B$4,V141*$AA141/الافتراضات!$B$28),"")</f>
        <v>1.6145621082455222E-2</v>
      </c>
      <c r="BB141" s="91" cm="1">
        <f t="array" ref="BB141">IFERROR(_xlfn.IFS($AB141="عدد الموظفين/الوحدة",W141*$AA141,$AB141='طريقة الحساب'!$B$2,W141*$AA141/الافتراضات!$B$27,$AB141='طريقة الحساب'!$B$3,W141*$AA141/الافتراضات!$B$26,$AB141='طريقة الحساب'!$B$4,W141*$AA141/الافتراضات!$B$28),"")</f>
        <v>1.6145621082455222E-2</v>
      </c>
      <c r="BC141" s="91" cm="1">
        <f t="array" ref="BC141">IFERROR(_xlfn.IFS($AB141="عدد الموظفين/الوحدة",X141*$AA141,$AB141='طريقة الحساب'!$B$2,X141*$AA141/الافتراضات!$B$27,$AB141='طريقة الحساب'!$B$3,X141*$AA141/الافتراضات!$B$26,$AB141='طريقة الحساب'!$B$4,X141*$AA141/الافتراضات!$B$28),"")</f>
        <v>1.6145621082455222E-2</v>
      </c>
      <c r="BD141" s="91" cm="1">
        <f t="array" ref="BD141">IFERROR(_xlfn.IFS($AB141="عدد الموظفين/الوحدة",Y141*$AA141,$AB141='طريقة الحساب'!$B$2,Y141*$AA141/الافتراضات!$B$27,$AB141='طريقة الحساب'!$B$3,Y141*$AA141/الافتراضات!$B$26,$AB141='طريقة الحساب'!$B$4,Y141*$AA141/الافتراضات!$B$28),"")</f>
        <v>1.6145621082455222E-2</v>
      </c>
      <c r="BE141" s="91" cm="1">
        <f t="array" ref="BE141">IFERROR(_xlfn.IFS($AB141="عدد الموظفين/الوحدة",Z141*$AA141,$AB141='طريقة الحساب'!$B$2,Z141*$AA141/الافتراضات!$B$27,$AB141='طريقة الحساب'!$B$3,Z141*$AA141/الافتراضات!$B$26,$AB141='طريقة الحساب'!$B$4,Z141*$AA141/الافتراضات!$B$28),"")</f>
        <v>0</v>
      </c>
      <c r="BF141" s="92"/>
    </row>
    <row r="142" spans="2:58" x14ac:dyDescent="0.35">
      <c r="B142" s="124" t="s">
        <v>87</v>
      </c>
      <c r="C142" s="131" t="s">
        <v>88</v>
      </c>
      <c r="D142" s="131" t="s">
        <v>90</v>
      </c>
      <c r="E142" s="138" t="s">
        <v>92</v>
      </c>
      <c r="F142" s="125" t="s">
        <v>165</v>
      </c>
      <c r="G142" s="126" t="s">
        <v>84</v>
      </c>
      <c r="H142" s="127"/>
      <c r="I142" s="132">
        <v>48</v>
      </c>
      <c r="J142" s="133">
        <v>48</v>
      </c>
      <c r="K142" s="133">
        <v>48</v>
      </c>
      <c r="L142" s="133">
        <v>48</v>
      </c>
      <c r="M142" s="133">
        <v>48</v>
      </c>
      <c r="N142" s="133">
        <v>48</v>
      </c>
      <c r="O142" s="133">
        <v>48</v>
      </c>
      <c r="P142" s="139">
        <v>20</v>
      </c>
      <c r="Q142" s="134" t="s">
        <v>45</v>
      </c>
      <c r="R142" s="128"/>
      <c r="S142" s="135">
        <v>48</v>
      </c>
      <c r="T142" s="135">
        <v>48</v>
      </c>
      <c r="U142" s="135">
        <v>48</v>
      </c>
      <c r="V142" s="135">
        <v>48</v>
      </c>
      <c r="W142" s="135">
        <v>48</v>
      </c>
      <c r="X142" s="135">
        <v>48</v>
      </c>
      <c r="Y142" s="135">
        <v>48</v>
      </c>
      <c r="Z142" s="79"/>
      <c r="AA142" s="135">
        <v>20</v>
      </c>
      <c r="AB142" s="136" t="s">
        <v>45</v>
      </c>
      <c r="AC142" s="80"/>
      <c r="AD142" s="81"/>
      <c r="AE142" s="82"/>
      <c r="AF142" s="82"/>
      <c r="AG142" s="82"/>
      <c r="AH142" s="82"/>
      <c r="AI142" s="82"/>
      <c r="AJ142" s="82"/>
      <c r="AK142" s="82"/>
      <c r="AL142" s="82"/>
      <c r="AM142" s="83"/>
      <c r="AN142" s="83"/>
      <c r="AO142" s="84" t="str">
        <f t="shared" si="16"/>
        <v>لا</v>
      </c>
      <c r="AP142" s="85" t="str">
        <f t="shared" si="17"/>
        <v/>
      </c>
      <c r="AQ142" s="84" t="str">
        <f t="shared" si="18"/>
        <v>لا</v>
      </c>
      <c r="AR142" s="85" t="str">
        <f t="shared" si="19"/>
        <v/>
      </c>
      <c r="AS142" s="86" t="str">
        <f t="shared" si="20"/>
        <v>لا</v>
      </c>
      <c r="AT142" s="87" t="str">
        <f t="shared" si="21"/>
        <v/>
      </c>
      <c r="AU142" s="88"/>
      <c r="AV142" s="89"/>
      <c r="AW142" s="90"/>
      <c r="AX142" s="91" cm="1">
        <f t="array" ref="AX142">IFERROR(_xlfn.IFS($AB142="عدد الموظفين/الوحدة",S142*$AA142,$AB142='طريقة الحساب'!$B$2,S142*$AA142/الافتراضات!$B$27,$AB142='طريقة الحساب'!$B$3,S142*$AA142/الافتراضات!$B$26,$AB142='طريقة الحساب'!$B$4,S142*$AA142/الافتراضات!$B$28),"")</f>
        <v>1.6145621082455222E-2</v>
      </c>
      <c r="AY142" s="91" cm="1">
        <f t="array" ref="AY142">IFERROR(_xlfn.IFS($AB142="عدد الموظفين/الوحدة",T142*$AA142,$AB142='طريقة الحساب'!$B$2,T142*$AA142/الافتراضات!$B$27,$AB142='طريقة الحساب'!$B$3,T142*$AA142/الافتراضات!$B$26,$AB142='طريقة الحساب'!$B$4,T142*$AA142/الافتراضات!$B$28),"")</f>
        <v>1.6145621082455222E-2</v>
      </c>
      <c r="AZ142" s="91" cm="1">
        <f t="array" ref="AZ142">IFERROR(_xlfn.IFS($AB142="عدد الموظفين/الوحدة",U142*$AA142,$AB142='طريقة الحساب'!$B$2,U142*$AA142/الافتراضات!$B$27,$AB142='طريقة الحساب'!$B$3,U142*$AA142/الافتراضات!$B$26,$AB142='طريقة الحساب'!$B$4,U142*$AA142/الافتراضات!$B$28),"")</f>
        <v>1.6145621082455222E-2</v>
      </c>
      <c r="BA142" s="91" cm="1">
        <f t="array" ref="BA142">IFERROR(_xlfn.IFS($AB142="عدد الموظفين/الوحدة",V142*$AA142,$AB142='طريقة الحساب'!$B$2,V142*$AA142/الافتراضات!$B$27,$AB142='طريقة الحساب'!$B$3,V142*$AA142/الافتراضات!$B$26,$AB142='طريقة الحساب'!$B$4,V142*$AA142/الافتراضات!$B$28),"")</f>
        <v>1.6145621082455222E-2</v>
      </c>
      <c r="BB142" s="91" cm="1">
        <f t="array" ref="BB142">IFERROR(_xlfn.IFS($AB142="عدد الموظفين/الوحدة",W142*$AA142,$AB142='طريقة الحساب'!$B$2,W142*$AA142/الافتراضات!$B$27,$AB142='طريقة الحساب'!$B$3,W142*$AA142/الافتراضات!$B$26,$AB142='طريقة الحساب'!$B$4,W142*$AA142/الافتراضات!$B$28),"")</f>
        <v>1.6145621082455222E-2</v>
      </c>
      <c r="BC142" s="91" cm="1">
        <f t="array" ref="BC142">IFERROR(_xlfn.IFS($AB142="عدد الموظفين/الوحدة",X142*$AA142,$AB142='طريقة الحساب'!$B$2,X142*$AA142/الافتراضات!$B$27,$AB142='طريقة الحساب'!$B$3,X142*$AA142/الافتراضات!$B$26,$AB142='طريقة الحساب'!$B$4,X142*$AA142/الافتراضات!$B$28),"")</f>
        <v>1.6145621082455222E-2</v>
      </c>
      <c r="BD142" s="91" cm="1">
        <f t="array" ref="BD142">IFERROR(_xlfn.IFS($AB142="عدد الموظفين/الوحدة",Y142*$AA142,$AB142='طريقة الحساب'!$B$2,Y142*$AA142/الافتراضات!$B$27,$AB142='طريقة الحساب'!$B$3,Y142*$AA142/الافتراضات!$B$26,$AB142='طريقة الحساب'!$B$4,Y142*$AA142/الافتراضات!$B$28),"")</f>
        <v>1.6145621082455222E-2</v>
      </c>
      <c r="BE142" s="91" cm="1">
        <f t="array" ref="BE142">IFERROR(_xlfn.IFS($AB142="عدد الموظفين/الوحدة",Z142*$AA142,$AB142='طريقة الحساب'!$B$2,Z142*$AA142/الافتراضات!$B$27,$AB142='طريقة الحساب'!$B$3,Z142*$AA142/الافتراضات!$B$26,$AB142='طريقة الحساب'!$B$4,Z142*$AA142/الافتراضات!$B$28),"")</f>
        <v>0</v>
      </c>
      <c r="BF142" s="92"/>
    </row>
    <row r="143" spans="2:58" x14ac:dyDescent="0.35">
      <c r="B143" s="124" t="s">
        <v>87</v>
      </c>
      <c r="C143" s="131" t="s">
        <v>88</v>
      </c>
      <c r="D143" s="131" t="s">
        <v>90</v>
      </c>
      <c r="E143" s="138" t="s">
        <v>92</v>
      </c>
      <c r="F143" s="125" t="s">
        <v>166</v>
      </c>
      <c r="G143" s="126" t="s">
        <v>84</v>
      </c>
      <c r="H143" s="127"/>
      <c r="I143" s="132">
        <v>48</v>
      </c>
      <c r="J143" s="133">
        <v>48</v>
      </c>
      <c r="K143" s="133">
        <v>48</v>
      </c>
      <c r="L143" s="133">
        <v>48</v>
      </c>
      <c r="M143" s="133">
        <v>48</v>
      </c>
      <c r="N143" s="133">
        <v>48</v>
      </c>
      <c r="O143" s="133">
        <v>48</v>
      </c>
      <c r="P143" s="139">
        <v>20</v>
      </c>
      <c r="Q143" s="134" t="s">
        <v>45</v>
      </c>
      <c r="R143" s="128"/>
      <c r="S143" s="135">
        <v>48</v>
      </c>
      <c r="T143" s="135">
        <v>48</v>
      </c>
      <c r="U143" s="135">
        <v>48</v>
      </c>
      <c r="V143" s="135">
        <v>48</v>
      </c>
      <c r="W143" s="135">
        <v>48</v>
      </c>
      <c r="X143" s="135">
        <v>48</v>
      </c>
      <c r="Y143" s="135">
        <v>48</v>
      </c>
      <c r="Z143" s="79"/>
      <c r="AA143" s="135">
        <v>20</v>
      </c>
      <c r="AB143" s="136" t="s">
        <v>45</v>
      </c>
      <c r="AC143" s="80"/>
      <c r="AD143" s="81"/>
      <c r="AE143" s="82"/>
      <c r="AF143" s="82"/>
      <c r="AG143" s="82"/>
      <c r="AH143" s="82"/>
      <c r="AI143" s="82"/>
      <c r="AJ143" s="82"/>
      <c r="AK143" s="82"/>
      <c r="AL143" s="82"/>
      <c r="AM143" s="83"/>
      <c r="AN143" s="83"/>
      <c r="AO143" s="84" t="str">
        <f t="shared" si="16"/>
        <v>لا</v>
      </c>
      <c r="AP143" s="85" t="str">
        <f t="shared" si="17"/>
        <v/>
      </c>
      <c r="AQ143" s="84" t="str">
        <f t="shared" si="18"/>
        <v>لا</v>
      </c>
      <c r="AR143" s="85" t="str">
        <f t="shared" si="19"/>
        <v/>
      </c>
      <c r="AS143" s="86" t="str">
        <f t="shared" si="20"/>
        <v>لا</v>
      </c>
      <c r="AT143" s="87" t="str">
        <f t="shared" si="21"/>
        <v/>
      </c>
      <c r="AU143" s="88"/>
      <c r="AV143" s="89"/>
      <c r="AW143" s="90"/>
      <c r="AX143" s="91" cm="1">
        <f t="array" ref="AX143">IFERROR(_xlfn.IFS($AB143="عدد الموظفين/الوحدة",S143*$AA143,$AB143='طريقة الحساب'!$B$2,S143*$AA143/الافتراضات!$B$27,$AB143='طريقة الحساب'!$B$3,S143*$AA143/الافتراضات!$B$26,$AB143='طريقة الحساب'!$B$4,S143*$AA143/الافتراضات!$B$28),"")</f>
        <v>1.6145621082455222E-2</v>
      </c>
      <c r="AY143" s="91" cm="1">
        <f t="array" ref="AY143">IFERROR(_xlfn.IFS($AB143="عدد الموظفين/الوحدة",T143*$AA143,$AB143='طريقة الحساب'!$B$2,T143*$AA143/الافتراضات!$B$27,$AB143='طريقة الحساب'!$B$3,T143*$AA143/الافتراضات!$B$26,$AB143='طريقة الحساب'!$B$4,T143*$AA143/الافتراضات!$B$28),"")</f>
        <v>1.6145621082455222E-2</v>
      </c>
      <c r="AZ143" s="91" cm="1">
        <f t="array" ref="AZ143">IFERROR(_xlfn.IFS($AB143="عدد الموظفين/الوحدة",U143*$AA143,$AB143='طريقة الحساب'!$B$2,U143*$AA143/الافتراضات!$B$27,$AB143='طريقة الحساب'!$B$3,U143*$AA143/الافتراضات!$B$26,$AB143='طريقة الحساب'!$B$4,U143*$AA143/الافتراضات!$B$28),"")</f>
        <v>1.6145621082455222E-2</v>
      </c>
      <c r="BA143" s="91" cm="1">
        <f t="array" ref="BA143">IFERROR(_xlfn.IFS($AB143="عدد الموظفين/الوحدة",V143*$AA143,$AB143='طريقة الحساب'!$B$2,V143*$AA143/الافتراضات!$B$27,$AB143='طريقة الحساب'!$B$3,V143*$AA143/الافتراضات!$B$26,$AB143='طريقة الحساب'!$B$4,V143*$AA143/الافتراضات!$B$28),"")</f>
        <v>1.6145621082455222E-2</v>
      </c>
      <c r="BB143" s="91" cm="1">
        <f t="array" ref="BB143">IFERROR(_xlfn.IFS($AB143="عدد الموظفين/الوحدة",W143*$AA143,$AB143='طريقة الحساب'!$B$2,W143*$AA143/الافتراضات!$B$27,$AB143='طريقة الحساب'!$B$3,W143*$AA143/الافتراضات!$B$26,$AB143='طريقة الحساب'!$B$4,W143*$AA143/الافتراضات!$B$28),"")</f>
        <v>1.6145621082455222E-2</v>
      </c>
      <c r="BC143" s="91" cm="1">
        <f t="array" ref="BC143">IFERROR(_xlfn.IFS($AB143="عدد الموظفين/الوحدة",X143*$AA143,$AB143='طريقة الحساب'!$B$2,X143*$AA143/الافتراضات!$B$27,$AB143='طريقة الحساب'!$B$3,X143*$AA143/الافتراضات!$B$26,$AB143='طريقة الحساب'!$B$4,X143*$AA143/الافتراضات!$B$28),"")</f>
        <v>1.6145621082455222E-2</v>
      </c>
      <c r="BD143" s="91" cm="1">
        <f t="array" ref="BD143">IFERROR(_xlfn.IFS($AB143="عدد الموظفين/الوحدة",Y143*$AA143,$AB143='طريقة الحساب'!$B$2,Y143*$AA143/الافتراضات!$B$27,$AB143='طريقة الحساب'!$B$3,Y143*$AA143/الافتراضات!$B$26,$AB143='طريقة الحساب'!$B$4,Y143*$AA143/الافتراضات!$B$28),"")</f>
        <v>1.6145621082455222E-2</v>
      </c>
      <c r="BE143" s="91" cm="1">
        <f t="array" ref="BE143">IFERROR(_xlfn.IFS($AB143="عدد الموظفين/الوحدة",Z143*$AA143,$AB143='طريقة الحساب'!$B$2,Z143*$AA143/الافتراضات!$B$27,$AB143='طريقة الحساب'!$B$3,Z143*$AA143/الافتراضات!$B$26,$AB143='طريقة الحساب'!$B$4,Z143*$AA143/الافتراضات!$B$28),"")</f>
        <v>0</v>
      </c>
      <c r="BF143" s="92"/>
    </row>
    <row r="144" spans="2:58" x14ac:dyDescent="0.35">
      <c r="B144" s="124" t="s">
        <v>87</v>
      </c>
      <c r="C144" s="131" t="s">
        <v>88</v>
      </c>
      <c r="D144" s="131" t="s">
        <v>90</v>
      </c>
      <c r="E144" s="138" t="s">
        <v>92</v>
      </c>
      <c r="F144" s="125" t="s">
        <v>167</v>
      </c>
      <c r="G144" s="126" t="s">
        <v>84</v>
      </c>
      <c r="H144" s="127"/>
      <c r="I144" s="132">
        <v>96</v>
      </c>
      <c r="J144" s="133">
        <v>96</v>
      </c>
      <c r="K144" s="133">
        <v>96</v>
      </c>
      <c r="L144" s="133">
        <v>96</v>
      </c>
      <c r="M144" s="133">
        <v>96</v>
      </c>
      <c r="N144" s="133">
        <v>96</v>
      </c>
      <c r="O144" s="133">
        <v>96</v>
      </c>
      <c r="P144" s="139">
        <v>15</v>
      </c>
      <c r="Q144" s="134" t="s">
        <v>45</v>
      </c>
      <c r="R144" s="128"/>
      <c r="S144" s="135">
        <v>96</v>
      </c>
      <c r="T144" s="135">
        <v>96</v>
      </c>
      <c r="U144" s="135">
        <v>96</v>
      </c>
      <c r="V144" s="135">
        <v>96</v>
      </c>
      <c r="W144" s="135">
        <v>96</v>
      </c>
      <c r="X144" s="135">
        <v>96</v>
      </c>
      <c r="Y144" s="135">
        <v>96</v>
      </c>
      <c r="Z144" s="79"/>
      <c r="AA144" s="135">
        <v>15</v>
      </c>
      <c r="AB144" s="136" t="s">
        <v>45</v>
      </c>
      <c r="AC144" s="80"/>
      <c r="AD144" s="81"/>
      <c r="AE144" s="82"/>
      <c r="AF144" s="82"/>
      <c r="AG144" s="82"/>
      <c r="AH144" s="82"/>
      <c r="AI144" s="82"/>
      <c r="AJ144" s="82"/>
      <c r="AK144" s="82"/>
      <c r="AL144" s="82"/>
      <c r="AM144" s="83"/>
      <c r="AN144" s="83"/>
      <c r="AO144" s="84" t="str">
        <f t="shared" si="6"/>
        <v>لا</v>
      </c>
      <c r="AP144" s="85" t="str">
        <f t="shared" si="5"/>
        <v/>
      </c>
      <c r="AQ144" s="84" t="str">
        <f t="shared" si="6"/>
        <v>لا</v>
      </c>
      <c r="AR144" s="85" t="str">
        <f t="shared" si="7"/>
        <v/>
      </c>
      <c r="AS144" s="86" t="str">
        <f t="shared" si="8"/>
        <v>لا</v>
      </c>
      <c r="AT144" s="87" t="str">
        <f t="shared" si="9"/>
        <v/>
      </c>
      <c r="AU144" s="88"/>
      <c r="AV144" s="89"/>
      <c r="AW144" s="90"/>
      <c r="AX144" s="91" cm="1">
        <f t="array" ref="AX144">IFERROR(_xlfn.IFS($AB144="عدد الموظفين/الوحدة",S144*$AA144,$AB144='طريقة الحساب'!$B$2,S144*$AA144/الافتراضات!$B$27,$AB144='طريقة الحساب'!$B$3,S144*$AA144/الافتراضات!$B$26,$AB144='طريقة الحساب'!$B$4,S144*$AA144/الافتراضات!$B$28),"")</f>
        <v>2.421843162368283E-2</v>
      </c>
      <c r="AY144" s="91" cm="1">
        <f t="array" ref="AY144">IFERROR(_xlfn.IFS($AB144="عدد الموظفين/الوحدة",T144*$AA144,$AB144='طريقة الحساب'!$B$2,T144*$AA144/الافتراضات!$B$27,$AB144='طريقة الحساب'!$B$3,T144*$AA144/الافتراضات!$B$26,$AB144='طريقة الحساب'!$B$4,T144*$AA144/الافتراضات!$B$28),"")</f>
        <v>2.421843162368283E-2</v>
      </c>
      <c r="AZ144" s="91" cm="1">
        <f t="array" ref="AZ144">IFERROR(_xlfn.IFS($AB144="عدد الموظفين/الوحدة",U144*$AA144,$AB144='طريقة الحساب'!$B$2,U144*$AA144/الافتراضات!$B$27,$AB144='طريقة الحساب'!$B$3,U144*$AA144/الافتراضات!$B$26,$AB144='طريقة الحساب'!$B$4,U144*$AA144/الافتراضات!$B$28),"")</f>
        <v>2.421843162368283E-2</v>
      </c>
      <c r="BA144" s="91" cm="1">
        <f t="array" ref="BA144">IFERROR(_xlfn.IFS($AB144="عدد الموظفين/الوحدة",V144*$AA144,$AB144='طريقة الحساب'!$B$2,V144*$AA144/الافتراضات!$B$27,$AB144='طريقة الحساب'!$B$3,V144*$AA144/الافتراضات!$B$26,$AB144='طريقة الحساب'!$B$4,V144*$AA144/الافتراضات!$B$28),"")</f>
        <v>2.421843162368283E-2</v>
      </c>
      <c r="BB144" s="91" cm="1">
        <f t="array" ref="BB144">IFERROR(_xlfn.IFS($AB144="عدد الموظفين/الوحدة",W144*$AA144,$AB144='طريقة الحساب'!$B$2,W144*$AA144/الافتراضات!$B$27,$AB144='طريقة الحساب'!$B$3,W144*$AA144/الافتراضات!$B$26,$AB144='طريقة الحساب'!$B$4,W144*$AA144/الافتراضات!$B$28),"")</f>
        <v>2.421843162368283E-2</v>
      </c>
      <c r="BC144" s="91" cm="1">
        <f t="array" ref="BC144">IFERROR(_xlfn.IFS($AB144="عدد الموظفين/الوحدة",X144*$AA144,$AB144='طريقة الحساب'!$B$2,X144*$AA144/الافتراضات!$B$27,$AB144='طريقة الحساب'!$B$3,X144*$AA144/الافتراضات!$B$26,$AB144='طريقة الحساب'!$B$4,X144*$AA144/الافتراضات!$B$28),"")</f>
        <v>2.421843162368283E-2</v>
      </c>
      <c r="BD144" s="91" cm="1">
        <f t="array" ref="BD144">IFERROR(_xlfn.IFS($AB144="عدد الموظفين/الوحدة",Y144*$AA144,$AB144='طريقة الحساب'!$B$2,Y144*$AA144/الافتراضات!$B$27,$AB144='طريقة الحساب'!$B$3,Y144*$AA144/الافتراضات!$B$26,$AB144='طريقة الحساب'!$B$4,Y144*$AA144/الافتراضات!$B$28),"")</f>
        <v>2.421843162368283E-2</v>
      </c>
      <c r="BE144" s="91" cm="1">
        <f t="array" ref="BE144">IFERROR(_xlfn.IFS($AB144="عدد الموظفين/الوحدة",Z144*$AA144,$AB144='طريقة الحساب'!$B$2,Z144*$AA144/الافتراضات!$B$27,$AB144='طريقة الحساب'!$B$3,Z144*$AA144/الافتراضات!$B$26,$AB144='طريقة الحساب'!$B$4,Z144*$AA144/الافتراضات!$B$28),"")</f>
        <v>0</v>
      </c>
      <c r="BF144" s="92"/>
    </row>
    <row r="145" spans="2:58" x14ac:dyDescent="0.35">
      <c r="B145" s="124" t="s">
        <v>87</v>
      </c>
      <c r="C145" s="131" t="s">
        <v>88</v>
      </c>
      <c r="D145" s="131" t="s">
        <v>90</v>
      </c>
      <c r="E145" s="138" t="s">
        <v>92</v>
      </c>
      <c r="F145" s="125" t="s">
        <v>168</v>
      </c>
      <c r="G145" s="126" t="s">
        <v>84</v>
      </c>
      <c r="H145" s="127"/>
      <c r="I145" s="132">
        <v>48</v>
      </c>
      <c r="J145" s="133">
        <v>48</v>
      </c>
      <c r="K145" s="133">
        <v>48</v>
      </c>
      <c r="L145" s="133">
        <v>48</v>
      </c>
      <c r="M145" s="133">
        <v>48</v>
      </c>
      <c r="N145" s="133">
        <v>48</v>
      </c>
      <c r="O145" s="133">
        <v>48</v>
      </c>
      <c r="P145" s="139">
        <v>10</v>
      </c>
      <c r="Q145" s="134" t="s">
        <v>45</v>
      </c>
      <c r="R145" s="128"/>
      <c r="S145" s="135">
        <v>48</v>
      </c>
      <c r="T145" s="135">
        <v>48</v>
      </c>
      <c r="U145" s="135">
        <v>48</v>
      </c>
      <c r="V145" s="135">
        <v>48</v>
      </c>
      <c r="W145" s="135">
        <v>48</v>
      </c>
      <c r="X145" s="135">
        <v>48</v>
      </c>
      <c r="Y145" s="135">
        <v>48</v>
      </c>
      <c r="Z145" s="79"/>
      <c r="AA145" s="135">
        <v>10</v>
      </c>
      <c r="AB145" s="136" t="s">
        <v>45</v>
      </c>
      <c r="AC145" s="80"/>
      <c r="AD145" s="81"/>
      <c r="AE145" s="82"/>
      <c r="AF145" s="82"/>
      <c r="AG145" s="82"/>
      <c r="AH145" s="82"/>
      <c r="AI145" s="82"/>
      <c r="AJ145" s="82"/>
      <c r="AK145" s="82"/>
      <c r="AL145" s="82"/>
      <c r="AM145" s="83"/>
      <c r="AN145" s="83"/>
      <c r="AO145" s="84" t="str">
        <f t="shared" si="6"/>
        <v>لا</v>
      </c>
      <c r="AP145" s="85" t="str">
        <f t="shared" si="5"/>
        <v/>
      </c>
      <c r="AQ145" s="84" t="str">
        <f t="shared" si="6"/>
        <v>لا</v>
      </c>
      <c r="AR145" s="85" t="str">
        <f t="shared" si="7"/>
        <v/>
      </c>
      <c r="AS145" s="86" t="str">
        <f t="shared" si="8"/>
        <v>لا</v>
      </c>
      <c r="AT145" s="87" t="str">
        <f t="shared" si="9"/>
        <v/>
      </c>
      <c r="AU145" s="88"/>
      <c r="AV145" s="89"/>
      <c r="AW145" s="90"/>
      <c r="AX145" s="91" cm="1">
        <f t="array" ref="AX145">IFERROR(_xlfn.IFS($AB145="عدد الموظفين/الوحدة",S145*$AA145,$AB145='طريقة الحساب'!$B$2,S145*$AA145/الافتراضات!$B$27,$AB145='طريقة الحساب'!$B$3,S145*$AA145/الافتراضات!$B$26,$AB145='طريقة الحساب'!$B$4,S145*$AA145/الافتراضات!$B$28),"")</f>
        <v>8.072810541227611E-3</v>
      </c>
      <c r="AY145" s="91" cm="1">
        <f t="array" ref="AY145">IFERROR(_xlfn.IFS($AB145="عدد الموظفين/الوحدة",T145*$AA145,$AB145='طريقة الحساب'!$B$2,T145*$AA145/الافتراضات!$B$27,$AB145='طريقة الحساب'!$B$3,T145*$AA145/الافتراضات!$B$26,$AB145='طريقة الحساب'!$B$4,T145*$AA145/الافتراضات!$B$28),"")</f>
        <v>8.072810541227611E-3</v>
      </c>
      <c r="AZ145" s="91" cm="1">
        <f t="array" ref="AZ145">IFERROR(_xlfn.IFS($AB145="عدد الموظفين/الوحدة",U145*$AA145,$AB145='طريقة الحساب'!$B$2,U145*$AA145/الافتراضات!$B$27,$AB145='طريقة الحساب'!$B$3,U145*$AA145/الافتراضات!$B$26,$AB145='طريقة الحساب'!$B$4,U145*$AA145/الافتراضات!$B$28),"")</f>
        <v>8.072810541227611E-3</v>
      </c>
      <c r="BA145" s="91" cm="1">
        <f t="array" ref="BA145">IFERROR(_xlfn.IFS($AB145="عدد الموظفين/الوحدة",V145*$AA145,$AB145='طريقة الحساب'!$B$2,V145*$AA145/الافتراضات!$B$27,$AB145='طريقة الحساب'!$B$3,V145*$AA145/الافتراضات!$B$26,$AB145='طريقة الحساب'!$B$4,V145*$AA145/الافتراضات!$B$28),"")</f>
        <v>8.072810541227611E-3</v>
      </c>
      <c r="BB145" s="91" cm="1">
        <f t="array" ref="BB145">IFERROR(_xlfn.IFS($AB145="عدد الموظفين/الوحدة",W145*$AA145,$AB145='طريقة الحساب'!$B$2,W145*$AA145/الافتراضات!$B$27,$AB145='طريقة الحساب'!$B$3,W145*$AA145/الافتراضات!$B$26,$AB145='طريقة الحساب'!$B$4,W145*$AA145/الافتراضات!$B$28),"")</f>
        <v>8.072810541227611E-3</v>
      </c>
      <c r="BC145" s="91" cm="1">
        <f t="array" ref="BC145">IFERROR(_xlfn.IFS($AB145="عدد الموظفين/الوحدة",X145*$AA145,$AB145='طريقة الحساب'!$B$2,X145*$AA145/الافتراضات!$B$27,$AB145='طريقة الحساب'!$B$3,X145*$AA145/الافتراضات!$B$26,$AB145='طريقة الحساب'!$B$4,X145*$AA145/الافتراضات!$B$28),"")</f>
        <v>8.072810541227611E-3</v>
      </c>
      <c r="BD145" s="91" cm="1">
        <f t="array" ref="BD145">IFERROR(_xlfn.IFS($AB145="عدد الموظفين/الوحدة",Y145*$AA145,$AB145='طريقة الحساب'!$B$2,Y145*$AA145/الافتراضات!$B$27,$AB145='طريقة الحساب'!$B$3,Y145*$AA145/الافتراضات!$B$26,$AB145='طريقة الحساب'!$B$4,Y145*$AA145/الافتراضات!$B$28),"")</f>
        <v>8.072810541227611E-3</v>
      </c>
      <c r="BE145" s="91" cm="1">
        <f t="array" ref="BE145">IFERROR(_xlfn.IFS($AB145="عدد الموظفين/الوحدة",Z145*$AA145,$AB145='طريقة الحساب'!$B$2,Z145*$AA145/الافتراضات!$B$27,$AB145='طريقة الحساب'!$B$3,Z145*$AA145/الافتراضات!$B$26,$AB145='طريقة الحساب'!$B$4,Z145*$AA145/الافتراضات!$B$28),"")</f>
        <v>0</v>
      </c>
      <c r="BF145" s="92"/>
    </row>
    <row r="146" spans="2:58" x14ac:dyDescent="0.35">
      <c r="B146" s="124" t="s">
        <v>87</v>
      </c>
      <c r="C146" s="131" t="s">
        <v>88</v>
      </c>
      <c r="D146" s="131" t="s">
        <v>90</v>
      </c>
      <c r="E146" s="138" t="s">
        <v>92</v>
      </c>
      <c r="F146" s="125" t="s">
        <v>169</v>
      </c>
      <c r="G146" s="126" t="s">
        <v>84</v>
      </c>
      <c r="H146" s="127"/>
      <c r="I146" s="132">
        <v>192</v>
      </c>
      <c r="J146" s="133">
        <v>192</v>
      </c>
      <c r="K146" s="133">
        <v>192</v>
      </c>
      <c r="L146" s="133">
        <v>192</v>
      </c>
      <c r="M146" s="133">
        <v>192</v>
      </c>
      <c r="N146" s="133">
        <v>192</v>
      </c>
      <c r="O146" s="133">
        <v>192</v>
      </c>
      <c r="P146" s="139">
        <v>10</v>
      </c>
      <c r="Q146" s="134" t="s">
        <v>45</v>
      </c>
      <c r="R146" s="128"/>
      <c r="S146" s="135">
        <v>192</v>
      </c>
      <c r="T146" s="135">
        <v>192</v>
      </c>
      <c r="U146" s="135">
        <v>192</v>
      </c>
      <c r="V146" s="135">
        <v>192</v>
      </c>
      <c r="W146" s="135">
        <v>192</v>
      </c>
      <c r="X146" s="135">
        <v>192</v>
      </c>
      <c r="Y146" s="135">
        <v>192</v>
      </c>
      <c r="Z146" s="79"/>
      <c r="AA146" s="135">
        <v>10</v>
      </c>
      <c r="AB146" s="136" t="s">
        <v>45</v>
      </c>
      <c r="AC146" s="80"/>
      <c r="AD146" s="81"/>
      <c r="AE146" s="82"/>
      <c r="AF146" s="82"/>
      <c r="AG146" s="82"/>
      <c r="AH146" s="82"/>
      <c r="AI146" s="82"/>
      <c r="AJ146" s="82"/>
      <c r="AK146" s="82"/>
      <c r="AL146" s="82"/>
      <c r="AM146" s="83"/>
      <c r="AN146" s="83"/>
      <c r="AO146" s="84" t="str">
        <f t="shared" si="6"/>
        <v>لا</v>
      </c>
      <c r="AP146" s="85" t="str">
        <f t="shared" si="5"/>
        <v/>
      </c>
      <c r="AQ146" s="84" t="str">
        <f t="shared" si="6"/>
        <v>لا</v>
      </c>
      <c r="AR146" s="85" t="str">
        <f t="shared" si="7"/>
        <v/>
      </c>
      <c r="AS146" s="86" t="str">
        <f t="shared" si="8"/>
        <v>لا</v>
      </c>
      <c r="AT146" s="87" t="str">
        <f t="shared" si="9"/>
        <v/>
      </c>
      <c r="AU146" s="88"/>
      <c r="AV146" s="89"/>
      <c r="AW146" s="90"/>
      <c r="AX146" s="91" cm="1">
        <f t="array" ref="AX146">IFERROR(_xlfn.IFS($AB146="عدد الموظفين/الوحدة",S146*$AA146,$AB146='طريقة الحساب'!$B$2,S146*$AA146/الافتراضات!$B$27,$AB146='طريقة الحساب'!$B$3,S146*$AA146/الافتراضات!$B$26,$AB146='طريقة الحساب'!$B$4,S146*$AA146/الافتراضات!$B$28),"")</f>
        <v>3.2291242164910444E-2</v>
      </c>
      <c r="AY146" s="91" cm="1">
        <f t="array" ref="AY146">IFERROR(_xlfn.IFS($AB146="عدد الموظفين/الوحدة",T146*$AA146,$AB146='طريقة الحساب'!$B$2,T146*$AA146/الافتراضات!$B$27,$AB146='طريقة الحساب'!$B$3,T146*$AA146/الافتراضات!$B$26,$AB146='طريقة الحساب'!$B$4,T146*$AA146/الافتراضات!$B$28),"")</f>
        <v>3.2291242164910444E-2</v>
      </c>
      <c r="AZ146" s="91" cm="1">
        <f t="array" ref="AZ146">IFERROR(_xlfn.IFS($AB146="عدد الموظفين/الوحدة",U146*$AA146,$AB146='طريقة الحساب'!$B$2,U146*$AA146/الافتراضات!$B$27,$AB146='طريقة الحساب'!$B$3,U146*$AA146/الافتراضات!$B$26,$AB146='طريقة الحساب'!$B$4,U146*$AA146/الافتراضات!$B$28),"")</f>
        <v>3.2291242164910444E-2</v>
      </c>
      <c r="BA146" s="91" cm="1">
        <f t="array" ref="BA146">IFERROR(_xlfn.IFS($AB146="عدد الموظفين/الوحدة",V146*$AA146,$AB146='طريقة الحساب'!$B$2,V146*$AA146/الافتراضات!$B$27,$AB146='طريقة الحساب'!$B$3,V146*$AA146/الافتراضات!$B$26,$AB146='طريقة الحساب'!$B$4,V146*$AA146/الافتراضات!$B$28),"")</f>
        <v>3.2291242164910444E-2</v>
      </c>
      <c r="BB146" s="91" cm="1">
        <f t="array" ref="BB146">IFERROR(_xlfn.IFS($AB146="عدد الموظفين/الوحدة",W146*$AA146,$AB146='طريقة الحساب'!$B$2,W146*$AA146/الافتراضات!$B$27,$AB146='طريقة الحساب'!$B$3,W146*$AA146/الافتراضات!$B$26,$AB146='طريقة الحساب'!$B$4,W146*$AA146/الافتراضات!$B$28),"")</f>
        <v>3.2291242164910444E-2</v>
      </c>
      <c r="BC146" s="91" cm="1">
        <f t="array" ref="BC146">IFERROR(_xlfn.IFS($AB146="عدد الموظفين/الوحدة",X146*$AA146,$AB146='طريقة الحساب'!$B$2,X146*$AA146/الافتراضات!$B$27,$AB146='طريقة الحساب'!$B$3,X146*$AA146/الافتراضات!$B$26,$AB146='طريقة الحساب'!$B$4,X146*$AA146/الافتراضات!$B$28),"")</f>
        <v>3.2291242164910444E-2</v>
      </c>
      <c r="BD146" s="91" cm="1">
        <f t="array" ref="BD146">IFERROR(_xlfn.IFS($AB146="عدد الموظفين/الوحدة",Y146*$AA146,$AB146='طريقة الحساب'!$B$2,Y146*$AA146/الافتراضات!$B$27,$AB146='طريقة الحساب'!$B$3,Y146*$AA146/الافتراضات!$B$26,$AB146='طريقة الحساب'!$B$4,Y146*$AA146/الافتراضات!$B$28),"")</f>
        <v>3.2291242164910444E-2</v>
      </c>
      <c r="BE146" s="91" cm="1">
        <f t="array" ref="BE146">IFERROR(_xlfn.IFS($AB146="عدد الموظفين/الوحدة",Z146*$AA146,$AB146='طريقة الحساب'!$B$2,Z146*$AA146/الافتراضات!$B$27,$AB146='طريقة الحساب'!$B$3,Z146*$AA146/الافتراضات!$B$26,$AB146='طريقة الحساب'!$B$4,Z146*$AA146/الافتراضات!$B$28),"")</f>
        <v>0</v>
      </c>
      <c r="BF146" s="92"/>
    </row>
    <row r="147" spans="2:58" x14ac:dyDescent="0.35">
      <c r="B147" s="124" t="s">
        <v>87</v>
      </c>
      <c r="C147" s="131" t="s">
        <v>88</v>
      </c>
      <c r="D147" s="131" t="s">
        <v>90</v>
      </c>
      <c r="E147" s="138" t="s">
        <v>92</v>
      </c>
      <c r="F147" s="125" t="s">
        <v>170</v>
      </c>
      <c r="G147" s="126" t="s">
        <v>84</v>
      </c>
      <c r="H147" s="127"/>
      <c r="I147" s="132">
        <v>3600</v>
      </c>
      <c r="J147" s="133">
        <v>3600</v>
      </c>
      <c r="K147" s="133">
        <v>3600</v>
      </c>
      <c r="L147" s="133">
        <v>3600</v>
      </c>
      <c r="M147" s="133">
        <v>3600</v>
      </c>
      <c r="N147" s="133">
        <v>3600</v>
      </c>
      <c r="O147" s="133">
        <v>3600</v>
      </c>
      <c r="P147" s="139">
        <v>5</v>
      </c>
      <c r="Q147" s="134" t="s">
        <v>45</v>
      </c>
      <c r="R147" s="128"/>
      <c r="S147" s="135">
        <v>3600</v>
      </c>
      <c r="T147" s="135">
        <v>3600</v>
      </c>
      <c r="U147" s="135">
        <v>3600</v>
      </c>
      <c r="V147" s="135">
        <v>3600</v>
      </c>
      <c r="W147" s="135">
        <v>3600</v>
      </c>
      <c r="X147" s="135">
        <v>3600</v>
      </c>
      <c r="Y147" s="135">
        <v>3600</v>
      </c>
      <c r="Z147" s="79"/>
      <c r="AA147" s="135">
        <v>5</v>
      </c>
      <c r="AB147" s="136" t="s">
        <v>45</v>
      </c>
      <c r="AC147" s="80"/>
      <c r="AD147" s="81"/>
      <c r="AE147" s="82"/>
      <c r="AF147" s="82"/>
      <c r="AG147" s="82"/>
      <c r="AH147" s="82"/>
      <c r="AI147" s="82"/>
      <c r="AJ147" s="82"/>
      <c r="AK147" s="82"/>
      <c r="AL147" s="82"/>
      <c r="AM147" s="83"/>
      <c r="AN147" s="83"/>
      <c r="AO147" s="84" t="str">
        <f t="shared" si="6"/>
        <v>لا</v>
      </c>
      <c r="AP147" s="85" t="str">
        <f t="shared" si="5"/>
        <v/>
      </c>
      <c r="AQ147" s="84" t="str">
        <f t="shared" si="6"/>
        <v>لا</v>
      </c>
      <c r="AR147" s="85" t="str">
        <f t="shared" si="7"/>
        <v/>
      </c>
      <c r="AS147" s="86" t="str">
        <f t="shared" si="8"/>
        <v>لا</v>
      </c>
      <c r="AT147" s="87" t="str">
        <f t="shared" si="9"/>
        <v/>
      </c>
      <c r="AU147" s="88"/>
      <c r="AV147" s="89"/>
      <c r="AW147" s="90"/>
      <c r="AX147" s="91" cm="1">
        <f t="array" ref="AX147">IFERROR(_xlfn.IFS($AB147="عدد الموظفين/الوحدة",S147*$AA147,$AB147='طريقة الحساب'!$B$2,S147*$AA147/الافتراضات!$B$27,$AB147='طريقة الحساب'!$B$3,S147*$AA147/الافتراضات!$B$26,$AB147='طريقة الحساب'!$B$4,S147*$AA147/الافتراضات!$B$28),"")</f>
        <v>0.3027303952960354</v>
      </c>
      <c r="AY147" s="91" cm="1">
        <f t="array" ref="AY147">IFERROR(_xlfn.IFS($AB147="عدد الموظفين/الوحدة",T147*$AA147,$AB147='طريقة الحساب'!$B$2,T147*$AA147/الافتراضات!$B$27,$AB147='طريقة الحساب'!$B$3,T147*$AA147/الافتراضات!$B$26,$AB147='طريقة الحساب'!$B$4,T147*$AA147/الافتراضات!$B$28),"")</f>
        <v>0.3027303952960354</v>
      </c>
      <c r="AZ147" s="91" cm="1">
        <f t="array" ref="AZ147">IFERROR(_xlfn.IFS($AB147="عدد الموظفين/الوحدة",U147*$AA147,$AB147='طريقة الحساب'!$B$2,U147*$AA147/الافتراضات!$B$27,$AB147='طريقة الحساب'!$B$3,U147*$AA147/الافتراضات!$B$26,$AB147='طريقة الحساب'!$B$4,U147*$AA147/الافتراضات!$B$28),"")</f>
        <v>0.3027303952960354</v>
      </c>
      <c r="BA147" s="91" cm="1">
        <f t="array" ref="BA147">IFERROR(_xlfn.IFS($AB147="عدد الموظفين/الوحدة",V147*$AA147,$AB147='طريقة الحساب'!$B$2,V147*$AA147/الافتراضات!$B$27,$AB147='طريقة الحساب'!$B$3,V147*$AA147/الافتراضات!$B$26,$AB147='طريقة الحساب'!$B$4,V147*$AA147/الافتراضات!$B$28),"")</f>
        <v>0.3027303952960354</v>
      </c>
      <c r="BB147" s="91" cm="1">
        <f t="array" ref="BB147">IFERROR(_xlfn.IFS($AB147="عدد الموظفين/الوحدة",W147*$AA147,$AB147='طريقة الحساب'!$B$2,W147*$AA147/الافتراضات!$B$27,$AB147='طريقة الحساب'!$B$3,W147*$AA147/الافتراضات!$B$26,$AB147='طريقة الحساب'!$B$4,W147*$AA147/الافتراضات!$B$28),"")</f>
        <v>0.3027303952960354</v>
      </c>
      <c r="BC147" s="91" cm="1">
        <f t="array" ref="BC147">IFERROR(_xlfn.IFS($AB147="عدد الموظفين/الوحدة",X147*$AA147,$AB147='طريقة الحساب'!$B$2,X147*$AA147/الافتراضات!$B$27,$AB147='طريقة الحساب'!$B$3,X147*$AA147/الافتراضات!$B$26,$AB147='طريقة الحساب'!$B$4,X147*$AA147/الافتراضات!$B$28),"")</f>
        <v>0.3027303952960354</v>
      </c>
      <c r="BD147" s="91" cm="1">
        <f t="array" ref="BD147">IFERROR(_xlfn.IFS($AB147="عدد الموظفين/الوحدة",Y147*$AA147,$AB147='طريقة الحساب'!$B$2,Y147*$AA147/الافتراضات!$B$27,$AB147='طريقة الحساب'!$B$3,Y147*$AA147/الافتراضات!$B$26,$AB147='طريقة الحساب'!$B$4,Y147*$AA147/الافتراضات!$B$28),"")</f>
        <v>0.3027303952960354</v>
      </c>
      <c r="BE147" s="91" cm="1">
        <f t="array" ref="BE147">IFERROR(_xlfn.IFS($AB147="عدد الموظفين/الوحدة",Z147*$AA147,$AB147='طريقة الحساب'!$B$2,Z147*$AA147/الافتراضات!$B$27,$AB147='طريقة الحساب'!$B$3,Z147*$AA147/الافتراضات!$B$26,$AB147='طريقة الحساب'!$B$4,Z147*$AA147/الافتراضات!$B$28),"")</f>
        <v>0</v>
      </c>
      <c r="BF147" s="92"/>
    </row>
    <row r="148" spans="2:58" x14ac:dyDescent="0.35">
      <c r="B148" s="124" t="s">
        <v>87</v>
      </c>
      <c r="C148" s="131" t="s">
        <v>88</v>
      </c>
      <c r="D148" s="131" t="s">
        <v>90</v>
      </c>
      <c r="E148" s="138" t="s">
        <v>92</v>
      </c>
      <c r="F148" s="125" t="s">
        <v>171</v>
      </c>
      <c r="G148" s="126" t="s">
        <v>84</v>
      </c>
      <c r="H148" s="127"/>
      <c r="I148" s="132">
        <v>3600</v>
      </c>
      <c r="J148" s="133">
        <v>3600</v>
      </c>
      <c r="K148" s="133">
        <v>3600</v>
      </c>
      <c r="L148" s="133">
        <v>3600</v>
      </c>
      <c r="M148" s="133">
        <v>3600</v>
      </c>
      <c r="N148" s="133">
        <v>3600</v>
      </c>
      <c r="O148" s="133">
        <v>3600</v>
      </c>
      <c r="P148" s="139">
        <v>10</v>
      </c>
      <c r="Q148" s="134" t="s">
        <v>45</v>
      </c>
      <c r="R148" s="128"/>
      <c r="S148" s="135">
        <v>3600</v>
      </c>
      <c r="T148" s="135">
        <v>3600</v>
      </c>
      <c r="U148" s="135">
        <v>3600</v>
      </c>
      <c r="V148" s="135">
        <v>3600</v>
      </c>
      <c r="W148" s="135">
        <v>3600</v>
      </c>
      <c r="X148" s="135">
        <v>3600</v>
      </c>
      <c r="Y148" s="135">
        <v>3600</v>
      </c>
      <c r="Z148" s="79"/>
      <c r="AA148" s="135">
        <v>10</v>
      </c>
      <c r="AB148" s="136" t="s">
        <v>45</v>
      </c>
      <c r="AC148" s="80"/>
      <c r="AD148" s="81"/>
      <c r="AE148" s="82"/>
      <c r="AF148" s="82"/>
      <c r="AG148" s="82"/>
      <c r="AH148" s="82"/>
      <c r="AI148" s="82"/>
      <c r="AJ148" s="82"/>
      <c r="AK148" s="82"/>
      <c r="AL148" s="82"/>
      <c r="AM148" s="83"/>
      <c r="AN148" s="83"/>
      <c r="AO148" s="84" t="str">
        <f t="shared" si="6"/>
        <v>لا</v>
      </c>
      <c r="AP148" s="85" t="str">
        <f t="shared" si="5"/>
        <v/>
      </c>
      <c r="AQ148" s="84" t="str">
        <f t="shared" si="6"/>
        <v>لا</v>
      </c>
      <c r="AR148" s="85" t="str">
        <f t="shared" si="7"/>
        <v/>
      </c>
      <c r="AS148" s="86" t="str">
        <f t="shared" si="8"/>
        <v>لا</v>
      </c>
      <c r="AT148" s="87" t="str">
        <f t="shared" si="9"/>
        <v/>
      </c>
      <c r="AU148" s="88"/>
      <c r="AV148" s="89"/>
      <c r="AW148" s="90"/>
      <c r="AX148" s="91" cm="1">
        <f t="array" ref="AX148">IFERROR(_xlfn.IFS($AB148="عدد الموظفين/الوحدة",S148*$AA148,$AB148='طريقة الحساب'!$B$2,S148*$AA148/الافتراضات!$B$27,$AB148='طريقة الحساب'!$B$3,S148*$AA148/الافتراضات!$B$26,$AB148='طريقة الحساب'!$B$4,S148*$AA148/الافتراضات!$B$28),"")</f>
        <v>0.60546079059207081</v>
      </c>
      <c r="AY148" s="91" cm="1">
        <f t="array" ref="AY148">IFERROR(_xlfn.IFS($AB148="عدد الموظفين/الوحدة",T148*$AA148,$AB148='طريقة الحساب'!$B$2,T148*$AA148/الافتراضات!$B$27,$AB148='طريقة الحساب'!$B$3,T148*$AA148/الافتراضات!$B$26,$AB148='طريقة الحساب'!$B$4,T148*$AA148/الافتراضات!$B$28),"")</f>
        <v>0.60546079059207081</v>
      </c>
      <c r="AZ148" s="91" cm="1">
        <f t="array" ref="AZ148">IFERROR(_xlfn.IFS($AB148="عدد الموظفين/الوحدة",U148*$AA148,$AB148='طريقة الحساب'!$B$2,U148*$AA148/الافتراضات!$B$27,$AB148='طريقة الحساب'!$B$3,U148*$AA148/الافتراضات!$B$26,$AB148='طريقة الحساب'!$B$4,U148*$AA148/الافتراضات!$B$28),"")</f>
        <v>0.60546079059207081</v>
      </c>
      <c r="BA148" s="91" cm="1">
        <f t="array" ref="BA148">IFERROR(_xlfn.IFS($AB148="عدد الموظفين/الوحدة",V148*$AA148,$AB148='طريقة الحساب'!$B$2,V148*$AA148/الافتراضات!$B$27,$AB148='طريقة الحساب'!$B$3,V148*$AA148/الافتراضات!$B$26,$AB148='طريقة الحساب'!$B$4,V148*$AA148/الافتراضات!$B$28),"")</f>
        <v>0.60546079059207081</v>
      </c>
      <c r="BB148" s="91" cm="1">
        <f t="array" ref="BB148">IFERROR(_xlfn.IFS($AB148="عدد الموظفين/الوحدة",W148*$AA148,$AB148='طريقة الحساب'!$B$2,W148*$AA148/الافتراضات!$B$27,$AB148='طريقة الحساب'!$B$3,W148*$AA148/الافتراضات!$B$26,$AB148='طريقة الحساب'!$B$4,W148*$AA148/الافتراضات!$B$28),"")</f>
        <v>0.60546079059207081</v>
      </c>
      <c r="BC148" s="91" cm="1">
        <f t="array" ref="BC148">IFERROR(_xlfn.IFS($AB148="عدد الموظفين/الوحدة",X148*$AA148,$AB148='طريقة الحساب'!$B$2,X148*$AA148/الافتراضات!$B$27,$AB148='طريقة الحساب'!$B$3,X148*$AA148/الافتراضات!$B$26,$AB148='طريقة الحساب'!$B$4,X148*$AA148/الافتراضات!$B$28),"")</f>
        <v>0.60546079059207081</v>
      </c>
      <c r="BD148" s="91" cm="1">
        <f t="array" ref="BD148">IFERROR(_xlfn.IFS($AB148="عدد الموظفين/الوحدة",Y148*$AA148,$AB148='طريقة الحساب'!$B$2,Y148*$AA148/الافتراضات!$B$27,$AB148='طريقة الحساب'!$B$3,Y148*$AA148/الافتراضات!$B$26,$AB148='طريقة الحساب'!$B$4,Y148*$AA148/الافتراضات!$B$28),"")</f>
        <v>0.60546079059207081</v>
      </c>
      <c r="BE148" s="91" cm="1">
        <f t="array" ref="BE148">IFERROR(_xlfn.IFS($AB148="عدد الموظفين/الوحدة",Z148*$AA148,$AB148='طريقة الحساب'!$B$2,Z148*$AA148/الافتراضات!$B$27,$AB148='طريقة الحساب'!$B$3,Z148*$AA148/الافتراضات!$B$26,$AB148='طريقة الحساب'!$B$4,Z148*$AA148/الافتراضات!$B$28),"")</f>
        <v>0</v>
      </c>
      <c r="BF148" s="92"/>
    </row>
    <row r="149" spans="2:58" x14ac:dyDescent="0.35">
      <c r="B149" s="124" t="s">
        <v>87</v>
      </c>
      <c r="C149" s="131" t="s">
        <v>88</v>
      </c>
      <c r="D149" s="131" t="s">
        <v>90</v>
      </c>
      <c r="E149" s="138" t="s">
        <v>92</v>
      </c>
      <c r="F149" s="125" t="s">
        <v>216</v>
      </c>
      <c r="G149" s="126" t="s">
        <v>84</v>
      </c>
      <c r="H149" s="127"/>
      <c r="I149" s="132">
        <v>3600</v>
      </c>
      <c r="J149" s="133">
        <v>3600</v>
      </c>
      <c r="K149" s="133">
        <v>3600</v>
      </c>
      <c r="L149" s="133">
        <v>3600</v>
      </c>
      <c r="M149" s="133">
        <v>3600</v>
      </c>
      <c r="N149" s="133">
        <v>3600</v>
      </c>
      <c r="O149" s="133">
        <v>3600</v>
      </c>
      <c r="P149" s="139">
        <v>15</v>
      </c>
      <c r="Q149" s="134" t="s">
        <v>45</v>
      </c>
      <c r="R149" s="128"/>
      <c r="S149" s="135">
        <v>3600</v>
      </c>
      <c r="T149" s="135">
        <v>3600</v>
      </c>
      <c r="U149" s="135">
        <v>3600</v>
      </c>
      <c r="V149" s="135">
        <v>3600</v>
      </c>
      <c r="W149" s="135">
        <v>3600</v>
      </c>
      <c r="X149" s="135">
        <v>3600</v>
      </c>
      <c r="Y149" s="135">
        <v>3600</v>
      </c>
      <c r="Z149" s="79"/>
      <c r="AA149" s="135">
        <v>15</v>
      </c>
      <c r="AB149" s="136" t="s">
        <v>45</v>
      </c>
      <c r="AC149" s="80"/>
      <c r="AD149" s="81"/>
      <c r="AE149" s="82"/>
      <c r="AF149" s="82"/>
      <c r="AG149" s="82"/>
      <c r="AH149" s="82"/>
      <c r="AI149" s="82"/>
      <c r="AJ149" s="82"/>
      <c r="AK149" s="82"/>
      <c r="AL149" s="82"/>
      <c r="AM149" s="83"/>
      <c r="AN149" s="83"/>
      <c r="AO149" s="84" t="str">
        <f t="shared" si="6"/>
        <v>لا</v>
      </c>
      <c r="AP149" s="85" t="str">
        <f t="shared" si="5"/>
        <v/>
      </c>
      <c r="AQ149" s="84" t="str">
        <f t="shared" si="6"/>
        <v>لا</v>
      </c>
      <c r="AR149" s="85" t="str">
        <f t="shared" si="7"/>
        <v/>
      </c>
      <c r="AS149" s="86" t="str">
        <f t="shared" si="8"/>
        <v>لا</v>
      </c>
      <c r="AT149" s="87" t="str">
        <f t="shared" si="9"/>
        <v/>
      </c>
      <c r="AU149" s="88"/>
      <c r="AV149" s="89"/>
      <c r="AW149" s="90"/>
      <c r="AX149" s="91" cm="1">
        <f t="array" ref="AX149">IFERROR(_xlfn.IFS($AB149="عدد الموظفين/الوحدة",S149*$AA149,$AB149='طريقة الحساب'!$B$2,S149*$AA149/الافتراضات!$B$27,$AB149='طريقة الحساب'!$B$3,S149*$AA149/الافتراضات!$B$26,$AB149='طريقة الحساب'!$B$4,S149*$AA149/الافتراضات!$B$28),"")</f>
        <v>0.9081911858881061</v>
      </c>
      <c r="AY149" s="91" cm="1">
        <f t="array" ref="AY149">IFERROR(_xlfn.IFS($AB149="عدد الموظفين/الوحدة",T149*$AA149,$AB149='طريقة الحساب'!$B$2,T149*$AA149/الافتراضات!$B$27,$AB149='طريقة الحساب'!$B$3,T149*$AA149/الافتراضات!$B$26,$AB149='طريقة الحساب'!$B$4,T149*$AA149/الافتراضات!$B$28),"")</f>
        <v>0.9081911858881061</v>
      </c>
      <c r="AZ149" s="91" cm="1">
        <f t="array" ref="AZ149">IFERROR(_xlfn.IFS($AB149="عدد الموظفين/الوحدة",U149*$AA149,$AB149='طريقة الحساب'!$B$2,U149*$AA149/الافتراضات!$B$27,$AB149='طريقة الحساب'!$B$3,U149*$AA149/الافتراضات!$B$26,$AB149='طريقة الحساب'!$B$4,U149*$AA149/الافتراضات!$B$28),"")</f>
        <v>0.9081911858881061</v>
      </c>
      <c r="BA149" s="91" cm="1">
        <f t="array" ref="BA149">IFERROR(_xlfn.IFS($AB149="عدد الموظفين/الوحدة",V149*$AA149,$AB149='طريقة الحساب'!$B$2,V149*$AA149/الافتراضات!$B$27,$AB149='طريقة الحساب'!$B$3,V149*$AA149/الافتراضات!$B$26,$AB149='طريقة الحساب'!$B$4,V149*$AA149/الافتراضات!$B$28),"")</f>
        <v>0.9081911858881061</v>
      </c>
      <c r="BB149" s="91" cm="1">
        <f t="array" ref="BB149">IFERROR(_xlfn.IFS($AB149="عدد الموظفين/الوحدة",W149*$AA149,$AB149='طريقة الحساب'!$B$2,W149*$AA149/الافتراضات!$B$27,$AB149='طريقة الحساب'!$B$3,W149*$AA149/الافتراضات!$B$26,$AB149='طريقة الحساب'!$B$4,W149*$AA149/الافتراضات!$B$28),"")</f>
        <v>0.9081911858881061</v>
      </c>
      <c r="BC149" s="91" cm="1">
        <f t="array" ref="BC149">IFERROR(_xlfn.IFS($AB149="عدد الموظفين/الوحدة",X149*$AA149,$AB149='طريقة الحساب'!$B$2,X149*$AA149/الافتراضات!$B$27,$AB149='طريقة الحساب'!$B$3,X149*$AA149/الافتراضات!$B$26,$AB149='طريقة الحساب'!$B$4,X149*$AA149/الافتراضات!$B$28),"")</f>
        <v>0.9081911858881061</v>
      </c>
      <c r="BD149" s="91" cm="1">
        <f t="array" ref="BD149">IFERROR(_xlfn.IFS($AB149="عدد الموظفين/الوحدة",Y149*$AA149,$AB149='طريقة الحساب'!$B$2,Y149*$AA149/الافتراضات!$B$27,$AB149='طريقة الحساب'!$B$3,Y149*$AA149/الافتراضات!$B$26,$AB149='طريقة الحساب'!$B$4,Y149*$AA149/الافتراضات!$B$28),"")</f>
        <v>0.9081911858881061</v>
      </c>
      <c r="BE149" s="91" cm="1">
        <f t="array" ref="BE149">IFERROR(_xlfn.IFS($AB149="عدد الموظفين/الوحدة",Z149*$AA149,$AB149='طريقة الحساب'!$B$2,Z149*$AA149/الافتراضات!$B$27,$AB149='طريقة الحساب'!$B$3,Z149*$AA149/الافتراضات!$B$26,$AB149='طريقة الحساب'!$B$4,Z149*$AA149/الافتراضات!$B$28),"")</f>
        <v>0</v>
      </c>
      <c r="BF149" s="92"/>
    </row>
    <row r="150" spans="2:58" x14ac:dyDescent="0.35">
      <c r="B150" s="124" t="s">
        <v>87</v>
      </c>
      <c r="C150" s="131" t="s">
        <v>88</v>
      </c>
      <c r="D150" s="131" t="s">
        <v>90</v>
      </c>
      <c r="E150" s="138" t="s">
        <v>92</v>
      </c>
      <c r="F150" s="125" t="s">
        <v>172</v>
      </c>
      <c r="G150" s="126" t="s">
        <v>84</v>
      </c>
      <c r="H150" s="127"/>
      <c r="I150" s="132">
        <v>1000</v>
      </c>
      <c r="J150" s="133">
        <v>1000</v>
      </c>
      <c r="K150" s="133">
        <v>1000</v>
      </c>
      <c r="L150" s="133">
        <v>1000</v>
      </c>
      <c r="M150" s="133">
        <v>1000</v>
      </c>
      <c r="N150" s="133">
        <v>1000</v>
      </c>
      <c r="O150" s="133">
        <v>1000</v>
      </c>
      <c r="P150" s="139">
        <v>10</v>
      </c>
      <c r="Q150" s="134" t="s">
        <v>45</v>
      </c>
      <c r="R150" s="128"/>
      <c r="S150" s="135">
        <v>1000</v>
      </c>
      <c r="T150" s="135">
        <v>1000</v>
      </c>
      <c r="U150" s="135">
        <v>1000</v>
      </c>
      <c r="V150" s="135">
        <v>1000</v>
      </c>
      <c r="W150" s="135">
        <v>1000</v>
      </c>
      <c r="X150" s="135">
        <v>1000</v>
      </c>
      <c r="Y150" s="135">
        <v>1000</v>
      </c>
      <c r="Z150" s="79"/>
      <c r="AA150" s="135">
        <v>10</v>
      </c>
      <c r="AB150" s="136" t="s">
        <v>45</v>
      </c>
      <c r="AC150" s="80"/>
      <c r="AD150" s="81"/>
      <c r="AE150" s="82"/>
      <c r="AF150" s="82"/>
      <c r="AG150" s="82"/>
      <c r="AH150" s="82"/>
      <c r="AI150" s="82"/>
      <c r="AJ150" s="82"/>
      <c r="AK150" s="82"/>
      <c r="AL150" s="82"/>
      <c r="AM150" s="83"/>
      <c r="AN150" s="83"/>
      <c r="AO150" s="84" t="str">
        <f t="shared" si="6"/>
        <v>لا</v>
      </c>
      <c r="AP150" s="85" t="str">
        <f t="shared" si="5"/>
        <v/>
      </c>
      <c r="AQ150" s="84" t="str">
        <f t="shared" si="6"/>
        <v>لا</v>
      </c>
      <c r="AR150" s="85" t="str">
        <f t="shared" si="7"/>
        <v/>
      </c>
      <c r="AS150" s="86" t="str">
        <f t="shared" si="8"/>
        <v>لا</v>
      </c>
      <c r="AT150" s="87" t="str">
        <f t="shared" si="9"/>
        <v/>
      </c>
      <c r="AU150" s="88"/>
      <c r="AV150" s="89"/>
      <c r="AW150" s="90"/>
      <c r="AX150" s="91" cm="1">
        <f t="array" ref="AX150">IFERROR(_xlfn.IFS($AB150="عدد الموظفين/الوحدة",S150*$AA150,$AB150='طريقة الحساب'!$B$2,S150*$AA150/الافتراضات!$B$27,$AB150='طريقة الحساب'!$B$3,S150*$AA150/الافتراضات!$B$26,$AB150='طريقة الحساب'!$B$4,S150*$AA150/الافتراضات!$B$28),"")</f>
        <v>0.16818355294224188</v>
      </c>
      <c r="AY150" s="91" cm="1">
        <f t="array" ref="AY150">IFERROR(_xlfn.IFS($AB150="عدد الموظفين/الوحدة",T150*$AA150,$AB150='طريقة الحساب'!$B$2,T150*$AA150/الافتراضات!$B$27,$AB150='طريقة الحساب'!$B$3,T150*$AA150/الافتراضات!$B$26,$AB150='طريقة الحساب'!$B$4,T150*$AA150/الافتراضات!$B$28),"")</f>
        <v>0.16818355294224188</v>
      </c>
      <c r="AZ150" s="91" cm="1">
        <f t="array" ref="AZ150">IFERROR(_xlfn.IFS($AB150="عدد الموظفين/الوحدة",U150*$AA150,$AB150='طريقة الحساب'!$B$2,U150*$AA150/الافتراضات!$B$27,$AB150='طريقة الحساب'!$B$3,U150*$AA150/الافتراضات!$B$26,$AB150='طريقة الحساب'!$B$4,U150*$AA150/الافتراضات!$B$28),"")</f>
        <v>0.16818355294224188</v>
      </c>
      <c r="BA150" s="91" cm="1">
        <f t="array" ref="BA150">IFERROR(_xlfn.IFS($AB150="عدد الموظفين/الوحدة",V150*$AA150,$AB150='طريقة الحساب'!$B$2,V150*$AA150/الافتراضات!$B$27,$AB150='طريقة الحساب'!$B$3,V150*$AA150/الافتراضات!$B$26,$AB150='طريقة الحساب'!$B$4,V150*$AA150/الافتراضات!$B$28),"")</f>
        <v>0.16818355294224188</v>
      </c>
      <c r="BB150" s="91" cm="1">
        <f t="array" ref="BB150">IFERROR(_xlfn.IFS($AB150="عدد الموظفين/الوحدة",W150*$AA150,$AB150='طريقة الحساب'!$B$2,W150*$AA150/الافتراضات!$B$27,$AB150='طريقة الحساب'!$B$3,W150*$AA150/الافتراضات!$B$26,$AB150='طريقة الحساب'!$B$4,W150*$AA150/الافتراضات!$B$28),"")</f>
        <v>0.16818355294224188</v>
      </c>
      <c r="BC150" s="91" cm="1">
        <f t="array" ref="BC150">IFERROR(_xlfn.IFS($AB150="عدد الموظفين/الوحدة",X150*$AA150,$AB150='طريقة الحساب'!$B$2,X150*$AA150/الافتراضات!$B$27,$AB150='طريقة الحساب'!$B$3,X150*$AA150/الافتراضات!$B$26,$AB150='طريقة الحساب'!$B$4,X150*$AA150/الافتراضات!$B$28),"")</f>
        <v>0.16818355294224188</v>
      </c>
      <c r="BD150" s="91" cm="1">
        <f t="array" ref="BD150">IFERROR(_xlfn.IFS($AB150="عدد الموظفين/الوحدة",Y150*$AA150,$AB150='طريقة الحساب'!$B$2,Y150*$AA150/الافتراضات!$B$27,$AB150='طريقة الحساب'!$B$3,Y150*$AA150/الافتراضات!$B$26,$AB150='طريقة الحساب'!$B$4,Y150*$AA150/الافتراضات!$B$28),"")</f>
        <v>0.16818355294224188</v>
      </c>
      <c r="BE150" s="91" cm="1">
        <f t="array" ref="BE150">IFERROR(_xlfn.IFS($AB150="عدد الموظفين/الوحدة",Z150*$AA150,$AB150='طريقة الحساب'!$B$2,Z150*$AA150/الافتراضات!$B$27,$AB150='طريقة الحساب'!$B$3,Z150*$AA150/الافتراضات!$B$26,$AB150='طريقة الحساب'!$B$4,Z150*$AA150/الافتراضات!$B$28),"")</f>
        <v>0</v>
      </c>
      <c r="BF150" s="92"/>
    </row>
    <row r="151" spans="2:58" x14ac:dyDescent="0.35">
      <c r="B151" s="124" t="s">
        <v>87</v>
      </c>
      <c r="C151" s="131" t="s">
        <v>88</v>
      </c>
      <c r="D151" s="131" t="s">
        <v>90</v>
      </c>
      <c r="E151" s="138" t="s">
        <v>92</v>
      </c>
      <c r="F151" s="125" t="s">
        <v>173</v>
      </c>
      <c r="G151" s="126" t="s">
        <v>84</v>
      </c>
      <c r="H151" s="127"/>
      <c r="I151" s="132">
        <v>2000</v>
      </c>
      <c r="J151" s="133">
        <v>2000</v>
      </c>
      <c r="K151" s="133">
        <v>2000</v>
      </c>
      <c r="L151" s="133">
        <v>2000</v>
      </c>
      <c r="M151" s="133">
        <v>2000</v>
      </c>
      <c r="N151" s="133">
        <v>2000</v>
      </c>
      <c r="O151" s="133">
        <v>2000</v>
      </c>
      <c r="P151" s="139">
        <v>5</v>
      </c>
      <c r="Q151" s="134" t="s">
        <v>45</v>
      </c>
      <c r="R151" s="128"/>
      <c r="S151" s="135">
        <v>2000</v>
      </c>
      <c r="T151" s="135">
        <v>2000</v>
      </c>
      <c r="U151" s="135">
        <v>2000</v>
      </c>
      <c r="V151" s="135">
        <v>2000</v>
      </c>
      <c r="W151" s="135">
        <v>2000</v>
      </c>
      <c r="X151" s="135">
        <v>2000</v>
      </c>
      <c r="Y151" s="135">
        <v>2000</v>
      </c>
      <c r="Z151" s="79"/>
      <c r="AA151" s="135">
        <v>5</v>
      </c>
      <c r="AB151" s="136" t="s">
        <v>45</v>
      </c>
      <c r="AC151" s="80"/>
      <c r="AD151" s="81"/>
      <c r="AE151" s="82"/>
      <c r="AF151" s="82"/>
      <c r="AG151" s="82"/>
      <c r="AH151" s="82"/>
      <c r="AI151" s="82"/>
      <c r="AJ151" s="82"/>
      <c r="AK151" s="82"/>
      <c r="AL151" s="82"/>
      <c r="AM151" s="83"/>
      <c r="AN151" s="83"/>
      <c r="AO151" s="84" t="str">
        <f t="shared" si="6"/>
        <v>لا</v>
      </c>
      <c r="AP151" s="85" t="str">
        <f t="shared" si="5"/>
        <v/>
      </c>
      <c r="AQ151" s="84" t="str">
        <f t="shared" si="6"/>
        <v>لا</v>
      </c>
      <c r="AR151" s="85" t="str">
        <f t="shared" si="7"/>
        <v/>
      </c>
      <c r="AS151" s="86" t="str">
        <f t="shared" si="8"/>
        <v>لا</v>
      </c>
      <c r="AT151" s="87" t="str">
        <f t="shared" si="9"/>
        <v/>
      </c>
      <c r="AU151" s="88"/>
      <c r="AV151" s="89"/>
      <c r="AW151" s="90"/>
      <c r="AX151" s="91" cm="1">
        <f t="array" ref="AX151">IFERROR(_xlfn.IFS($AB151="عدد الموظفين/الوحدة",S151*$AA151,$AB151='طريقة الحساب'!$B$2,S151*$AA151/الافتراضات!$B$27,$AB151='طريقة الحساب'!$B$3,S151*$AA151/الافتراضات!$B$26,$AB151='طريقة الحساب'!$B$4,S151*$AA151/الافتراضات!$B$28),"")</f>
        <v>0.16818355294224188</v>
      </c>
      <c r="AY151" s="91" cm="1">
        <f t="array" ref="AY151">IFERROR(_xlfn.IFS($AB151="عدد الموظفين/الوحدة",T151*$AA151,$AB151='طريقة الحساب'!$B$2,T151*$AA151/الافتراضات!$B$27,$AB151='طريقة الحساب'!$B$3,T151*$AA151/الافتراضات!$B$26,$AB151='طريقة الحساب'!$B$4,T151*$AA151/الافتراضات!$B$28),"")</f>
        <v>0.16818355294224188</v>
      </c>
      <c r="AZ151" s="91" cm="1">
        <f t="array" ref="AZ151">IFERROR(_xlfn.IFS($AB151="عدد الموظفين/الوحدة",U151*$AA151,$AB151='طريقة الحساب'!$B$2,U151*$AA151/الافتراضات!$B$27,$AB151='طريقة الحساب'!$B$3,U151*$AA151/الافتراضات!$B$26,$AB151='طريقة الحساب'!$B$4,U151*$AA151/الافتراضات!$B$28),"")</f>
        <v>0.16818355294224188</v>
      </c>
      <c r="BA151" s="91" cm="1">
        <f t="array" ref="BA151">IFERROR(_xlfn.IFS($AB151="عدد الموظفين/الوحدة",V151*$AA151,$AB151='طريقة الحساب'!$B$2,V151*$AA151/الافتراضات!$B$27,$AB151='طريقة الحساب'!$B$3,V151*$AA151/الافتراضات!$B$26,$AB151='طريقة الحساب'!$B$4,V151*$AA151/الافتراضات!$B$28),"")</f>
        <v>0.16818355294224188</v>
      </c>
      <c r="BB151" s="91" cm="1">
        <f t="array" ref="BB151">IFERROR(_xlfn.IFS($AB151="عدد الموظفين/الوحدة",W151*$AA151,$AB151='طريقة الحساب'!$B$2,W151*$AA151/الافتراضات!$B$27,$AB151='طريقة الحساب'!$B$3,W151*$AA151/الافتراضات!$B$26,$AB151='طريقة الحساب'!$B$4,W151*$AA151/الافتراضات!$B$28),"")</f>
        <v>0.16818355294224188</v>
      </c>
      <c r="BC151" s="91" cm="1">
        <f t="array" ref="BC151">IFERROR(_xlfn.IFS($AB151="عدد الموظفين/الوحدة",X151*$AA151,$AB151='طريقة الحساب'!$B$2,X151*$AA151/الافتراضات!$B$27,$AB151='طريقة الحساب'!$B$3,X151*$AA151/الافتراضات!$B$26,$AB151='طريقة الحساب'!$B$4,X151*$AA151/الافتراضات!$B$28),"")</f>
        <v>0.16818355294224188</v>
      </c>
      <c r="BD151" s="91" cm="1">
        <f t="array" ref="BD151">IFERROR(_xlfn.IFS($AB151="عدد الموظفين/الوحدة",Y151*$AA151,$AB151='طريقة الحساب'!$B$2,Y151*$AA151/الافتراضات!$B$27,$AB151='طريقة الحساب'!$B$3,Y151*$AA151/الافتراضات!$B$26,$AB151='طريقة الحساب'!$B$4,Y151*$AA151/الافتراضات!$B$28),"")</f>
        <v>0.16818355294224188</v>
      </c>
      <c r="BE151" s="91" cm="1">
        <f t="array" ref="BE151">IFERROR(_xlfn.IFS($AB151="عدد الموظفين/الوحدة",Z151*$AA151,$AB151='طريقة الحساب'!$B$2,Z151*$AA151/الافتراضات!$B$27,$AB151='طريقة الحساب'!$B$3,Z151*$AA151/الافتراضات!$B$26,$AB151='طريقة الحساب'!$B$4,Z151*$AA151/الافتراضات!$B$28),"")</f>
        <v>0</v>
      </c>
      <c r="BF151" s="92"/>
    </row>
    <row r="152" spans="2:58" x14ac:dyDescent="0.35">
      <c r="B152" s="124" t="s">
        <v>87</v>
      </c>
      <c r="C152" s="131" t="s">
        <v>88</v>
      </c>
      <c r="D152" s="131" t="s">
        <v>90</v>
      </c>
      <c r="E152" s="138" t="s">
        <v>92</v>
      </c>
      <c r="F152" s="125" t="s">
        <v>174</v>
      </c>
      <c r="G152" s="126" t="s">
        <v>84</v>
      </c>
      <c r="H152" s="127"/>
      <c r="I152" s="132">
        <v>1000</v>
      </c>
      <c r="J152" s="133">
        <v>1000</v>
      </c>
      <c r="K152" s="133">
        <v>1000</v>
      </c>
      <c r="L152" s="133">
        <v>1000</v>
      </c>
      <c r="M152" s="133">
        <v>1000</v>
      </c>
      <c r="N152" s="133">
        <v>1000</v>
      </c>
      <c r="O152" s="133">
        <v>1000</v>
      </c>
      <c r="P152" s="139">
        <v>5</v>
      </c>
      <c r="Q152" s="134" t="s">
        <v>45</v>
      </c>
      <c r="R152" s="128"/>
      <c r="S152" s="135">
        <v>1000</v>
      </c>
      <c r="T152" s="135">
        <v>1000</v>
      </c>
      <c r="U152" s="135">
        <v>1000</v>
      </c>
      <c r="V152" s="135">
        <v>1000</v>
      </c>
      <c r="W152" s="135">
        <v>1000</v>
      </c>
      <c r="X152" s="135">
        <v>1000</v>
      </c>
      <c r="Y152" s="135">
        <v>1000</v>
      </c>
      <c r="Z152" s="79"/>
      <c r="AA152" s="135">
        <v>5</v>
      </c>
      <c r="AB152" s="136" t="s">
        <v>45</v>
      </c>
      <c r="AC152" s="80"/>
      <c r="AD152" s="81"/>
      <c r="AE152" s="82"/>
      <c r="AF152" s="82"/>
      <c r="AG152" s="82"/>
      <c r="AH152" s="82"/>
      <c r="AI152" s="82"/>
      <c r="AJ152" s="82"/>
      <c r="AK152" s="82"/>
      <c r="AL152" s="82"/>
      <c r="AM152" s="83"/>
      <c r="AN152" s="83"/>
      <c r="AO152" s="84" t="str">
        <f t="shared" si="6"/>
        <v>لا</v>
      </c>
      <c r="AP152" s="85" t="str">
        <f t="shared" si="5"/>
        <v/>
      </c>
      <c r="AQ152" s="84" t="str">
        <f t="shared" si="6"/>
        <v>لا</v>
      </c>
      <c r="AR152" s="85" t="str">
        <f t="shared" si="7"/>
        <v/>
      </c>
      <c r="AS152" s="86" t="str">
        <f t="shared" si="8"/>
        <v>لا</v>
      </c>
      <c r="AT152" s="87" t="str">
        <f t="shared" si="9"/>
        <v/>
      </c>
      <c r="AU152" s="88"/>
      <c r="AV152" s="89"/>
      <c r="AW152" s="90"/>
      <c r="AX152" s="91" cm="1">
        <f t="array" ref="AX152">IFERROR(_xlfn.IFS($AB152="عدد الموظفين/الوحدة",S152*$AA152,$AB152='طريقة الحساب'!$B$2,S152*$AA152/الافتراضات!$B$27,$AB152='طريقة الحساب'!$B$3,S152*$AA152/الافتراضات!$B$26,$AB152='طريقة الحساب'!$B$4,S152*$AA152/الافتراضات!$B$28),"")</f>
        <v>8.4091776471120941E-2</v>
      </c>
      <c r="AY152" s="91" cm="1">
        <f t="array" ref="AY152">IFERROR(_xlfn.IFS($AB152="عدد الموظفين/الوحدة",T152*$AA152,$AB152='طريقة الحساب'!$B$2,T152*$AA152/الافتراضات!$B$27,$AB152='طريقة الحساب'!$B$3,T152*$AA152/الافتراضات!$B$26,$AB152='طريقة الحساب'!$B$4,T152*$AA152/الافتراضات!$B$28),"")</f>
        <v>8.4091776471120941E-2</v>
      </c>
      <c r="AZ152" s="91" cm="1">
        <f t="array" ref="AZ152">IFERROR(_xlfn.IFS($AB152="عدد الموظفين/الوحدة",U152*$AA152,$AB152='طريقة الحساب'!$B$2,U152*$AA152/الافتراضات!$B$27,$AB152='طريقة الحساب'!$B$3,U152*$AA152/الافتراضات!$B$26,$AB152='طريقة الحساب'!$B$4,U152*$AA152/الافتراضات!$B$28),"")</f>
        <v>8.4091776471120941E-2</v>
      </c>
      <c r="BA152" s="91" cm="1">
        <f t="array" ref="BA152">IFERROR(_xlfn.IFS($AB152="عدد الموظفين/الوحدة",V152*$AA152,$AB152='طريقة الحساب'!$B$2,V152*$AA152/الافتراضات!$B$27,$AB152='طريقة الحساب'!$B$3,V152*$AA152/الافتراضات!$B$26,$AB152='طريقة الحساب'!$B$4,V152*$AA152/الافتراضات!$B$28),"")</f>
        <v>8.4091776471120941E-2</v>
      </c>
      <c r="BB152" s="91" cm="1">
        <f t="array" ref="BB152">IFERROR(_xlfn.IFS($AB152="عدد الموظفين/الوحدة",W152*$AA152,$AB152='طريقة الحساب'!$B$2,W152*$AA152/الافتراضات!$B$27,$AB152='طريقة الحساب'!$B$3,W152*$AA152/الافتراضات!$B$26,$AB152='طريقة الحساب'!$B$4,W152*$AA152/الافتراضات!$B$28),"")</f>
        <v>8.4091776471120941E-2</v>
      </c>
      <c r="BC152" s="91" cm="1">
        <f t="array" ref="BC152">IFERROR(_xlfn.IFS($AB152="عدد الموظفين/الوحدة",X152*$AA152,$AB152='طريقة الحساب'!$B$2,X152*$AA152/الافتراضات!$B$27,$AB152='طريقة الحساب'!$B$3,X152*$AA152/الافتراضات!$B$26,$AB152='طريقة الحساب'!$B$4,X152*$AA152/الافتراضات!$B$28),"")</f>
        <v>8.4091776471120941E-2</v>
      </c>
      <c r="BD152" s="91" cm="1">
        <f t="array" ref="BD152">IFERROR(_xlfn.IFS($AB152="عدد الموظفين/الوحدة",Y152*$AA152,$AB152='طريقة الحساب'!$B$2,Y152*$AA152/الافتراضات!$B$27,$AB152='طريقة الحساب'!$B$3,Y152*$AA152/الافتراضات!$B$26,$AB152='طريقة الحساب'!$B$4,Y152*$AA152/الافتراضات!$B$28),"")</f>
        <v>8.4091776471120941E-2</v>
      </c>
      <c r="BE152" s="91" cm="1">
        <f t="array" ref="BE152">IFERROR(_xlfn.IFS($AB152="عدد الموظفين/الوحدة",Z152*$AA152,$AB152='طريقة الحساب'!$B$2,Z152*$AA152/الافتراضات!$B$27,$AB152='طريقة الحساب'!$B$3,Z152*$AA152/الافتراضات!$B$26,$AB152='طريقة الحساب'!$B$4,Z152*$AA152/الافتراضات!$B$28),"")</f>
        <v>0</v>
      </c>
      <c r="BF152" s="92"/>
    </row>
    <row r="153" spans="2:58" x14ac:dyDescent="0.35">
      <c r="B153" s="124" t="s">
        <v>87</v>
      </c>
      <c r="C153" s="131" t="s">
        <v>88</v>
      </c>
      <c r="D153" s="131" t="s">
        <v>90</v>
      </c>
      <c r="E153" s="138" t="s">
        <v>92</v>
      </c>
      <c r="F153" s="125" t="s">
        <v>175</v>
      </c>
      <c r="G153" s="126" t="s">
        <v>84</v>
      </c>
      <c r="H153" s="127"/>
      <c r="I153" s="132">
        <v>480</v>
      </c>
      <c r="J153" s="133">
        <v>480</v>
      </c>
      <c r="K153" s="133">
        <v>480</v>
      </c>
      <c r="L153" s="133">
        <v>480</v>
      </c>
      <c r="M153" s="133">
        <v>480</v>
      </c>
      <c r="N153" s="133">
        <v>480</v>
      </c>
      <c r="O153" s="133">
        <v>480</v>
      </c>
      <c r="P153" s="139">
        <v>10</v>
      </c>
      <c r="Q153" s="134" t="s">
        <v>45</v>
      </c>
      <c r="R153" s="128"/>
      <c r="S153" s="135">
        <v>480</v>
      </c>
      <c r="T153" s="135">
        <v>480</v>
      </c>
      <c r="U153" s="135">
        <v>480</v>
      </c>
      <c r="V153" s="135">
        <v>480</v>
      </c>
      <c r="W153" s="135">
        <v>480</v>
      </c>
      <c r="X153" s="135">
        <v>480</v>
      </c>
      <c r="Y153" s="135">
        <v>480</v>
      </c>
      <c r="Z153" s="79"/>
      <c r="AA153" s="135">
        <v>10</v>
      </c>
      <c r="AB153" s="136" t="s">
        <v>45</v>
      </c>
      <c r="AC153" s="80"/>
      <c r="AD153" s="81"/>
      <c r="AE153" s="82"/>
      <c r="AF153" s="82"/>
      <c r="AG153" s="82"/>
      <c r="AH153" s="82"/>
      <c r="AI153" s="82"/>
      <c r="AJ153" s="82"/>
      <c r="AK153" s="82"/>
      <c r="AL153" s="82"/>
      <c r="AM153" s="83"/>
      <c r="AN153" s="83"/>
      <c r="AO153" s="84" t="str">
        <f t="shared" si="6"/>
        <v>لا</v>
      </c>
      <c r="AP153" s="85" t="str">
        <f t="shared" si="5"/>
        <v/>
      </c>
      <c r="AQ153" s="84" t="str">
        <f t="shared" si="6"/>
        <v>لا</v>
      </c>
      <c r="AR153" s="85" t="str">
        <f t="shared" si="7"/>
        <v/>
      </c>
      <c r="AS153" s="86" t="str">
        <f t="shared" si="8"/>
        <v>لا</v>
      </c>
      <c r="AT153" s="87" t="str">
        <f t="shared" si="9"/>
        <v/>
      </c>
      <c r="AU153" s="88"/>
      <c r="AV153" s="89"/>
      <c r="AW153" s="90"/>
      <c r="AX153" s="91" cm="1">
        <f t="array" ref="AX153">IFERROR(_xlfn.IFS($AB153="عدد الموظفين/الوحدة",S153*$AA153,$AB153='طريقة الحساب'!$B$2,S153*$AA153/الافتراضات!$B$27,$AB153='طريقة الحساب'!$B$3,S153*$AA153/الافتراضات!$B$26,$AB153='طريقة الحساب'!$B$4,S153*$AA153/الافتراضات!$B$28),"")</f>
        <v>8.0728105412276097E-2</v>
      </c>
      <c r="AY153" s="91" cm="1">
        <f t="array" ref="AY153">IFERROR(_xlfn.IFS($AB153="عدد الموظفين/الوحدة",T153*$AA153,$AB153='طريقة الحساب'!$B$2,T153*$AA153/الافتراضات!$B$27,$AB153='طريقة الحساب'!$B$3,T153*$AA153/الافتراضات!$B$26,$AB153='طريقة الحساب'!$B$4,T153*$AA153/الافتراضات!$B$28),"")</f>
        <v>8.0728105412276097E-2</v>
      </c>
      <c r="AZ153" s="91" cm="1">
        <f t="array" ref="AZ153">IFERROR(_xlfn.IFS($AB153="عدد الموظفين/الوحدة",U153*$AA153,$AB153='طريقة الحساب'!$B$2,U153*$AA153/الافتراضات!$B$27,$AB153='طريقة الحساب'!$B$3,U153*$AA153/الافتراضات!$B$26,$AB153='طريقة الحساب'!$B$4,U153*$AA153/الافتراضات!$B$28),"")</f>
        <v>8.0728105412276097E-2</v>
      </c>
      <c r="BA153" s="91" cm="1">
        <f t="array" ref="BA153">IFERROR(_xlfn.IFS($AB153="عدد الموظفين/الوحدة",V153*$AA153,$AB153='طريقة الحساب'!$B$2,V153*$AA153/الافتراضات!$B$27,$AB153='طريقة الحساب'!$B$3,V153*$AA153/الافتراضات!$B$26,$AB153='طريقة الحساب'!$B$4,V153*$AA153/الافتراضات!$B$28),"")</f>
        <v>8.0728105412276097E-2</v>
      </c>
      <c r="BB153" s="91" cm="1">
        <f t="array" ref="BB153">IFERROR(_xlfn.IFS($AB153="عدد الموظفين/الوحدة",W153*$AA153,$AB153='طريقة الحساب'!$B$2,W153*$AA153/الافتراضات!$B$27,$AB153='طريقة الحساب'!$B$3,W153*$AA153/الافتراضات!$B$26,$AB153='طريقة الحساب'!$B$4,W153*$AA153/الافتراضات!$B$28),"")</f>
        <v>8.0728105412276097E-2</v>
      </c>
      <c r="BC153" s="91" cm="1">
        <f t="array" ref="BC153">IFERROR(_xlfn.IFS($AB153="عدد الموظفين/الوحدة",X153*$AA153,$AB153='طريقة الحساب'!$B$2,X153*$AA153/الافتراضات!$B$27,$AB153='طريقة الحساب'!$B$3,X153*$AA153/الافتراضات!$B$26,$AB153='طريقة الحساب'!$B$4,X153*$AA153/الافتراضات!$B$28),"")</f>
        <v>8.0728105412276097E-2</v>
      </c>
      <c r="BD153" s="91" cm="1">
        <f t="array" ref="BD153">IFERROR(_xlfn.IFS($AB153="عدد الموظفين/الوحدة",Y153*$AA153,$AB153='طريقة الحساب'!$B$2,Y153*$AA153/الافتراضات!$B$27,$AB153='طريقة الحساب'!$B$3,Y153*$AA153/الافتراضات!$B$26,$AB153='طريقة الحساب'!$B$4,Y153*$AA153/الافتراضات!$B$28),"")</f>
        <v>8.0728105412276097E-2</v>
      </c>
      <c r="BE153" s="91" cm="1">
        <f t="array" ref="BE153">IFERROR(_xlfn.IFS($AB153="عدد الموظفين/الوحدة",Z153*$AA153,$AB153='طريقة الحساب'!$B$2,Z153*$AA153/الافتراضات!$B$27,$AB153='طريقة الحساب'!$B$3,Z153*$AA153/الافتراضات!$B$26,$AB153='طريقة الحساب'!$B$4,Z153*$AA153/الافتراضات!$B$28),"")</f>
        <v>0</v>
      </c>
      <c r="BF153" s="92"/>
    </row>
    <row r="154" spans="2:58" x14ac:dyDescent="0.35">
      <c r="B154" s="124" t="s">
        <v>87</v>
      </c>
      <c r="C154" s="131" t="s">
        <v>88</v>
      </c>
      <c r="D154" s="131" t="s">
        <v>90</v>
      </c>
      <c r="E154" s="138" t="s">
        <v>92</v>
      </c>
      <c r="F154" s="125" t="s">
        <v>176</v>
      </c>
      <c r="G154" s="126" t="s">
        <v>84</v>
      </c>
      <c r="H154" s="127"/>
      <c r="I154" s="132">
        <v>12</v>
      </c>
      <c r="J154" s="133">
        <v>12</v>
      </c>
      <c r="K154" s="133">
        <v>12</v>
      </c>
      <c r="L154" s="133">
        <v>12</v>
      </c>
      <c r="M154" s="133">
        <v>12</v>
      </c>
      <c r="N154" s="133">
        <v>12</v>
      </c>
      <c r="O154" s="133">
        <v>12</v>
      </c>
      <c r="P154" s="139">
        <v>20</v>
      </c>
      <c r="Q154" s="134" t="s">
        <v>45</v>
      </c>
      <c r="R154" s="128"/>
      <c r="S154" s="135">
        <v>12</v>
      </c>
      <c r="T154" s="135">
        <v>12</v>
      </c>
      <c r="U154" s="135">
        <v>12</v>
      </c>
      <c r="V154" s="135">
        <v>12</v>
      </c>
      <c r="W154" s="135">
        <v>12</v>
      </c>
      <c r="X154" s="135">
        <v>12</v>
      </c>
      <c r="Y154" s="135">
        <v>12</v>
      </c>
      <c r="Z154" s="79"/>
      <c r="AA154" s="135">
        <v>20</v>
      </c>
      <c r="AB154" s="136" t="s">
        <v>45</v>
      </c>
      <c r="AC154" s="80"/>
      <c r="AD154" s="81"/>
      <c r="AE154" s="82"/>
      <c r="AF154" s="82"/>
      <c r="AG154" s="82"/>
      <c r="AH154" s="82"/>
      <c r="AI154" s="82"/>
      <c r="AJ154" s="82"/>
      <c r="AK154" s="82"/>
      <c r="AL154" s="82"/>
      <c r="AM154" s="83"/>
      <c r="AN154" s="83"/>
      <c r="AO154" s="84" t="str">
        <f t="shared" si="6"/>
        <v>لا</v>
      </c>
      <c r="AP154" s="85" t="str">
        <f t="shared" si="5"/>
        <v/>
      </c>
      <c r="AQ154" s="84" t="str">
        <f t="shared" si="6"/>
        <v>لا</v>
      </c>
      <c r="AR154" s="85" t="str">
        <f t="shared" si="7"/>
        <v/>
      </c>
      <c r="AS154" s="86" t="str">
        <f t="shared" si="8"/>
        <v>لا</v>
      </c>
      <c r="AT154" s="87" t="str">
        <f t="shared" si="9"/>
        <v/>
      </c>
      <c r="AU154" s="88"/>
      <c r="AV154" s="89"/>
      <c r="AW154" s="90"/>
      <c r="AX154" s="91" cm="1">
        <f t="array" ref="AX154">IFERROR(_xlfn.IFS($AB154="عدد الموظفين/الوحدة",S154*$AA154,$AB154='طريقة الحساب'!$B$2,S154*$AA154/الافتراضات!$B$27,$AB154='طريقة الحساب'!$B$3,S154*$AA154/الافتراضات!$B$26,$AB154='طريقة الحساب'!$B$4,S154*$AA154/الافتراضات!$B$28),"")</f>
        <v>4.0364052706138055E-3</v>
      </c>
      <c r="AY154" s="91" cm="1">
        <f t="array" ref="AY154">IFERROR(_xlfn.IFS($AB154="عدد الموظفين/الوحدة",T154*$AA154,$AB154='طريقة الحساب'!$B$2,T154*$AA154/الافتراضات!$B$27,$AB154='طريقة الحساب'!$B$3,T154*$AA154/الافتراضات!$B$26,$AB154='طريقة الحساب'!$B$4,T154*$AA154/الافتراضات!$B$28),"")</f>
        <v>4.0364052706138055E-3</v>
      </c>
      <c r="AZ154" s="91" cm="1">
        <f t="array" ref="AZ154">IFERROR(_xlfn.IFS($AB154="عدد الموظفين/الوحدة",U154*$AA154,$AB154='طريقة الحساب'!$B$2,U154*$AA154/الافتراضات!$B$27,$AB154='طريقة الحساب'!$B$3,U154*$AA154/الافتراضات!$B$26,$AB154='طريقة الحساب'!$B$4,U154*$AA154/الافتراضات!$B$28),"")</f>
        <v>4.0364052706138055E-3</v>
      </c>
      <c r="BA154" s="91" cm="1">
        <f t="array" ref="BA154">IFERROR(_xlfn.IFS($AB154="عدد الموظفين/الوحدة",V154*$AA154,$AB154='طريقة الحساب'!$B$2,V154*$AA154/الافتراضات!$B$27,$AB154='طريقة الحساب'!$B$3,V154*$AA154/الافتراضات!$B$26,$AB154='طريقة الحساب'!$B$4,V154*$AA154/الافتراضات!$B$28),"")</f>
        <v>4.0364052706138055E-3</v>
      </c>
      <c r="BB154" s="91" cm="1">
        <f t="array" ref="BB154">IFERROR(_xlfn.IFS($AB154="عدد الموظفين/الوحدة",W154*$AA154,$AB154='طريقة الحساب'!$B$2,W154*$AA154/الافتراضات!$B$27,$AB154='طريقة الحساب'!$B$3,W154*$AA154/الافتراضات!$B$26,$AB154='طريقة الحساب'!$B$4,W154*$AA154/الافتراضات!$B$28),"")</f>
        <v>4.0364052706138055E-3</v>
      </c>
      <c r="BC154" s="91" cm="1">
        <f t="array" ref="BC154">IFERROR(_xlfn.IFS($AB154="عدد الموظفين/الوحدة",X154*$AA154,$AB154='طريقة الحساب'!$B$2,X154*$AA154/الافتراضات!$B$27,$AB154='طريقة الحساب'!$B$3,X154*$AA154/الافتراضات!$B$26,$AB154='طريقة الحساب'!$B$4,X154*$AA154/الافتراضات!$B$28),"")</f>
        <v>4.0364052706138055E-3</v>
      </c>
      <c r="BD154" s="91" cm="1">
        <f t="array" ref="BD154">IFERROR(_xlfn.IFS($AB154="عدد الموظفين/الوحدة",Y154*$AA154,$AB154='طريقة الحساب'!$B$2,Y154*$AA154/الافتراضات!$B$27,$AB154='طريقة الحساب'!$B$3,Y154*$AA154/الافتراضات!$B$26,$AB154='طريقة الحساب'!$B$4,Y154*$AA154/الافتراضات!$B$28),"")</f>
        <v>4.0364052706138055E-3</v>
      </c>
      <c r="BE154" s="91" cm="1">
        <f t="array" ref="BE154">IFERROR(_xlfn.IFS($AB154="عدد الموظفين/الوحدة",Z154*$AA154,$AB154='طريقة الحساب'!$B$2,Z154*$AA154/الافتراضات!$B$27,$AB154='طريقة الحساب'!$B$3,Z154*$AA154/الافتراضات!$B$26,$AB154='طريقة الحساب'!$B$4,Z154*$AA154/الافتراضات!$B$28),"")</f>
        <v>0</v>
      </c>
      <c r="BF154" s="92"/>
    </row>
    <row r="155" spans="2:58" x14ac:dyDescent="0.35">
      <c r="B155" s="124" t="s">
        <v>87</v>
      </c>
      <c r="C155" s="131" t="s">
        <v>88</v>
      </c>
      <c r="D155" s="131" t="s">
        <v>90</v>
      </c>
      <c r="E155" s="138" t="s">
        <v>92</v>
      </c>
      <c r="F155" s="125" t="s">
        <v>177</v>
      </c>
      <c r="G155" s="126" t="s">
        <v>84</v>
      </c>
      <c r="H155" s="127"/>
      <c r="I155" s="132">
        <v>12</v>
      </c>
      <c r="J155" s="133">
        <v>12</v>
      </c>
      <c r="K155" s="133">
        <v>12</v>
      </c>
      <c r="L155" s="133">
        <v>12</v>
      </c>
      <c r="M155" s="133">
        <v>12</v>
      </c>
      <c r="N155" s="133">
        <v>12</v>
      </c>
      <c r="O155" s="133">
        <v>12</v>
      </c>
      <c r="P155" s="139">
        <v>15</v>
      </c>
      <c r="Q155" s="134" t="s">
        <v>45</v>
      </c>
      <c r="R155" s="128"/>
      <c r="S155" s="135">
        <v>12</v>
      </c>
      <c r="T155" s="135">
        <v>12</v>
      </c>
      <c r="U155" s="135">
        <v>12</v>
      </c>
      <c r="V155" s="135">
        <v>12</v>
      </c>
      <c r="W155" s="135">
        <v>12</v>
      </c>
      <c r="X155" s="135">
        <v>12</v>
      </c>
      <c r="Y155" s="135">
        <v>12</v>
      </c>
      <c r="Z155" s="79"/>
      <c r="AA155" s="135">
        <v>15</v>
      </c>
      <c r="AB155" s="136" t="s">
        <v>45</v>
      </c>
      <c r="AC155" s="80"/>
      <c r="AD155" s="81"/>
      <c r="AE155" s="82"/>
      <c r="AF155" s="82"/>
      <c r="AG155" s="82"/>
      <c r="AH155" s="82"/>
      <c r="AI155" s="82"/>
      <c r="AJ155" s="82"/>
      <c r="AK155" s="82"/>
      <c r="AL155" s="82"/>
      <c r="AM155" s="83"/>
      <c r="AN155" s="83"/>
      <c r="AO155" s="84" t="str">
        <f t="shared" si="6"/>
        <v>لا</v>
      </c>
      <c r="AP155" s="85" t="str">
        <f t="shared" si="5"/>
        <v/>
      </c>
      <c r="AQ155" s="84" t="str">
        <f t="shared" si="6"/>
        <v>لا</v>
      </c>
      <c r="AR155" s="85" t="str">
        <f t="shared" si="7"/>
        <v/>
      </c>
      <c r="AS155" s="86" t="str">
        <f t="shared" si="8"/>
        <v>لا</v>
      </c>
      <c r="AT155" s="87" t="str">
        <f t="shared" si="9"/>
        <v/>
      </c>
      <c r="AU155" s="88"/>
      <c r="AV155" s="89"/>
      <c r="AW155" s="90"/>
      <c r="AX155" s="91" cm="1">
        <f t="array" ref="AX155">IFERROR(_xlfn.IFS($AB155="عدد الموظفين/الوحدة",S155*$AA155,$AB155='طريقة الحساب'!$B$2,S155*$AA155/الافتراضات!$B$27,$AB155='طريقة الحساب'!$B$3,S155*$AA155/الافتراضات!$B$26,$AB155='طريقة الحساب'!$B$4,S155*$AA155/الافتراضات!$B$28),"")</f>
        <v>3.0273039529603537E-3</v>
      </c>
      <c r="AY155" s="91" cm="1">
        <f t="array" ref="AY155">IFERROR(_xlfn.IFS($AB155="عدد الموظفين/الوحدة",T155*$AA155,$AB155='طريقة الحساب'!$B$2,T155*$AA155/الافتراضات!$B$27,$AB155='طريقة الحساب'!$B$3,T155*$AA155/الافتراضات!$B$26,$AB155='طريقة الحساب'!$B$4,T155*$AA155/الافتراضات!$B$28),"")</f>
        <v>3.0273039529603537E-3</v>
      </c>
      <c r="AZ155" s="91" cm="1">
        <f t="array" ref="AZ155">IFERROR(_xlfn.IFS($AB155="عدد الموظفين/الوحدة",U155*$AA155,$AB155='طريقة الحساب'!$B$2,U155*$AA155/الافتراضات!$B$27,$AB155='طريقة الحساب'!$B$3,U155*$AA155/الافتراضات!$B$26,$AB155='طريقة الحساب'!$B$4,U155*$AA155/الافتراضات!$B$28),"")</f>
        <v>3.0273039529603537E-3</v>
      </c>
      <c r="BA155" s="91" cm="1">
        <f t="array" ref="BA155">IFERROR(_xlfn.IFS($AB155="عدد الموظفين/الوحدة",V155*$AA155,$AB155='طريقة الحساب'!$B$2,V155*$AA155/الافتراضات!$B$27,$AB155='طريقة الحساب'!$B$3,V155*$AA155/الافتراضات!$B$26,$AB155='طريقة الحساب'!$B$4,V155*$AA155/الافتراضات!$B$28),"")</f>
        <v>3.0273039529603537E-3</v>
      </c>
      <c r="BB155" s="91" cm="1">
        <f t="array" ref="BB155">IFERROR(_xlfn.IFS($AB155="عدد الموظفين/الوحدة",W155*$AA155,$AB155='طريقة الحساب'!$B$2,W155*$AA155/الافتراضات!$B$27,$AB155='طريقة الحساب'!$B$3,W155*$AA155/الافتراضات!$B$26,$AB155='طريقة الحساب'!$B$4,W155*$AA155/الافتراضات!$B$28),"")</f>
        <v>3.0273039529603537E-3</v>
      </c>
      <c r="BC155" s="91" cm="1">
        <f t="array" ref="BC155">IFERROR(_xlfn.IFS($AB155="عدد الموظفين/الوحدة",X155*$AA155,$AB155='طريقة الحساب'!$B$2,X155*$AA155/الافتراضات!$B$27,$AB155='طريقة الحساب'!$B$3,X155*$AA155/الافتراضات!$B$26,$AB155='طريقة الحساب'!$B$4,X155*$AA155/الافتراضات!$B$28),"")</f>
        <v>3.0273039529603537E-3</v>
      </c>
      <c r="BD155" s="91" cm="1">
        <f t="array" ref="BD155">IFERROR(_xlfn.IFS($AB155="عدد الموظفين/الوحدة",Y155*$AA155,$AB155='طريقة الحساب'!$B$2,Y155*$AA155/الافتراضات!$B$27,$AB155='طريقة الحساب'!$B$3,Y155*$AA155/الافتراضات!$B$26,$AB155='طريقة الحساب'!$B$4,Y155*$AA155/الافتراضات!$B$28),"")</f>
        <v>3.0273039529603537E-3</v>
      </c>
      <c r="BE155" s="91" cm="1">
        <f t="array" ref="BE155">IFERROR(_xlfn.IFS($AB155="عدد الموظفين/الوحدة",Z155*$AA155,$AB155='طريقة الحساب'!$B$2,Z155*$AA155/الافتراضات!$B$27,$AB155='طريقة الحساب'!$B$3,Z155*$AA155/الافتراضات!$B$26,$AB155='طريقة الحساب'!$B$4,Z155*$AA155/الافتراضات!$B$28),"")</f>
        <v>0</v>
      </c>
      <c r="BF155" s="92"/>
    </row>
    <row r="156" spans="2:58" x14ac:dyDescent="0.35">
      <c r="B156" s="124" t="s">
        <v>87</v>
      </c>
      <c r="C156" s="131" t="s">
        <v>88</v>
      </c>
      <c r="D156" s="131" t="s">
        <v>90</v>
      </c>
      <c r="E156" s="138" t="s">
        <v>92</v>
      </c>
      <c r="F156" s="125" t="s">
        <v>178</v>
      </c>
      <c r="G156" s="126" t="s">
        <v>84</v>
      </c>
      <c r="H156" s="127"/>
      <c r="I156" s="132">
        <v>150</v>
      </c>
      <c r="J156" s="133">
        <v>150</v>
      </c>
      <c r="K156" s="133">
        <v>150</v>
      </c>
      <c r="L156" s="133">
        <v>150</v>
      </c>
      <c r="M156" s="133">
        <v>150</v>
      </c>
      <c r="N156" s="133">
        <v>150</v>
      </c>
      <c r="O156" s="133">
        <v>150</v>
      </c>
      <c r="P156" s="139">
        <v>10</v>
      </c>
      <c r="Q156" s="134" t="s">
        <v>45</v>
      </c>
      <c r="R156" s="128"/>
      <c r="S156" s="135">
        <v>150</v>
      </c>
      <c r="T156" s="135">
        <v>150</v>
      </c>
      <c r="U156" s="135">
        <v>150</v>
      </c>
      <c r="V156" s="135">
        <v>150</v>
      </c>
      <c r="W156" s="135">
        <v>150</v>
      </c>
      <c r="X156" s="135">
        <v>150</v>
      </c>
      <c r="Y156" s="135">
        <v>150</v>
      </c>
      <c r="Z156" s="79"/>
      <c r="AA156" s="135">
        <v>10</v>
      </c>
      <c r="AB156" s="136" t="s">
        <v>45</v>
      </c>
      <c r="AC156" s="80"/>
      <c r="AD156" s="81"/>
      <c r="AE156" s="82"/>
      <c r="AF156" s="82"/>
      <c r="AG156" s="82"/>
      <c r="AH156" s="82"/>
      <c r="AI156" s="82"/>
      <c r="AJ156" s="82"/>
      <c r="AK156" s="82"/>
      <c r="AL156" s="82"/>
      <c r="AM156" s="83"/>
      <c r="AN156" s="83"/>
      <c r="AO156" s="84" t="str">
        <f t="shared" si="6"/>
        <v>لا</v>
      </c>
      <c r="AP156" s="85" t="str">
        <f t="shared" si="5"/>
        <v/>
      </c>
      <c r="AQ156" s="84" t="str">
        <f t="shared" si="6"/>
        <v>لا</v>
      </c>
      <c r="AR156" s="85" t="str">
        <f t="shared" si="7"/>
        <v/>
      </c>
      <c r="AS156" s="86" t="str">
        <f t="shared" si="8"/>
        <v>لا</v>
      </c>
      <c r="AT156" s="87" t="str">
        <f t="shared" si="9"/>
        <v/>
      </c>
      <c r="AU156" s="88"/>
      <c r="AV156" s="89"/>
      <c r="AW156" s="90"/>
      <c r="AX156" s="91" cm="1">
        <f t="array" ref="AX156">IFERROR(_xlfn.IFS($AB156="عدد الموظفين/الوحدة",S156*$AA156,$AB156='طريقة الحساب'!$B$2,S156*$AA156/الافتراضات!$B$27,$AB156='طريقة الحساب'!$B$3,S156*$AA156/الافتراضات!$B$26,$AB156='طريقة الحساب'!$B$4,S156*$AA156/الافتراضات!$B$28),"")</f>
        <v>2.5227532941336284E-2</v>
      </c>
      <c r="AY156" s="91" cm="1">
        <f t="array" ref="AY156">IFERROR(_xlfn.IFS($AB156="عدد الموظفين/الوحدة",T156*$AA156,$AB156='طريقة الحساب'!$B$2,T156*$AA156/الافتراضات!$B$27,$AB156='طريقة الحساب'!$B$3,T156*$AA156/الافتراضات!$B$26,$AB156='طريقة الحساب'!$B$4,T156*$AA156/الافتراضات!$B$28),"")</f>
        <v>2.5227532941336284E-2</v>
      </c>
      <c r="AZ156" s="91" cm="1">
        <f t="array" ref="AZ156">IFERROR(_xlfn.IFS($AB156="عدد الموظفين/الوحدة",U156*$AA156,$AB156='طريقة الحساب'!$B$2,U156*$AA156/الافتراضات!$B$27,$AB156='طريقة الحساب'!$B$3,U156*$AA156/الافتراضات!$B$26,$AB156='طريقة الحساب'!$B$4,U156*$AA156/الافتراضات!$B$28),"")</f>
        <v>2.5227532941336284E-2</v>
      </c>
      <c r="BA156" s="91" cm="1">
        <f t="array" ref="BA156">IFERROR(_xlfn.IFS($AB156="عدد الموظفين/الوحدة",V156*$AA156,$AB156='طريقة الحساب'!$B$2,V156*$AA156/الافتراضات!$B$27,$AB156='طريقة الحساب'!$B$3,V156*$AA156/الافتراضات!$B$26,$AB156='طريقة الحساب'!$B$4,V156*$AA156/الافتراضات!$B$28),"")</f>
        <v>2.5227532941336284E-2</v>
      </c>
      <c r="BB156" s="91" cm="1">
        <f t="array" ref="BB156">IFERROR(_xlfn.IFS($AB156="عدد الموظفين/الوحدة",W156*$AA156,$AB156='طريقة الحساب'!$B$2,W156*$AA156/الافتراضات!$B$27,$AB156='طريقة الحساب'!$B$3,W156*$AA156/الافتراضات!$B$26,$AB156='طريقة الحساب'!$B$4,W156*$AA156/الافتراضات!$B$28),"")</f>
        <v>2.5227532941336284E-2</v>
      </c>
      <c r="BC156" s="91" cm="1">
        <f t="array" ref="BC156">IFERROR(_xlfn.IFS($AB156="عدد الموظفين/الوحدة",X156*$AA156,$AB156='طريقة الحساب'!$B$2,X156*$AA156/الافتراضات!$B$27,$AB156='طريقة الحساب'!$B$3,X156*$AA156/الافتراضات!$B$26,$AB156='طريقة الحساب'!$B$4,X156*$AA156/الافتراضات!$B$28),"")</f>
        <v>2.5227532941336284E-2</v>
      </c>
      <c r="BD156" s="91" cm="1">
        <f t="array" ref="BD156">IFERROR(_xlfn.IFS($AB156="عدد الموظفين/الوحدة",Y156*$AA156,$AB156='طريقة الحساب'!$B$2,Y156*$AA156/الافتراضات!$B$27,$AB156='طريقة الحساب'!$B$3,Y156*$AA156/الافتراضات!$B$26,$AB156='طريقة الحساب'!$B$4,Y156*$AA156/الافتراضات!$B$28),"")</f>
        <v>2.5227532941336284E-2</v>
      </c>
      <c r="BE156" s="91" cm="1">
        <f t="array" ref="BE156">IFERROR(_xlfn.IFS($AB156="عدد الموظفين/الوحدة",Z156*$AA156,$AB156='طريقة الحساب'!$B$2,Z156*$AA156/الافتراضات!$B$27,$AB156='طريقة الحساب'!$B$3,Z156*$AA156/الافتراضات!$B$26,$AB156='طريقة الحساب'!$B$4,Z156*$AA156/الافتراضات!$B$28),"")</f>
        <v>0</v>
      </c>
      <c r="BF156" s="92"/>
    </row>
    <row r="157" spans="2:58" x14ac:dyDescent="0.35">
      <c r="B157" s="124" t="s">
        <v>87</v>
      </c>
      <c r="C157" s="131" t="s">
        <v>88</v>
      </c>
      <c r="D157" s="131" t="s">
        <v>90</v>
      </c>
      <c r="E157" s="138" t="s">
        <v>92</v>
      </c>
      <c r="F157" s="125" t="s">
        <v>179</v>
      </c>
      <c r="G157" s="126" t="s">
        <v>84</v>
      </c>
      <c r="H157" s="127"/>
      <c r="I157" s="132">
        <v>12</v>
      </c>
      <c r="J157" s="133">
        <v>12</v>
      </c>
      <c r="K157" s="133">
        <v>12</v>
      </c>
      <c r="L157" s="133">
        <v>12</v>
      </c>
      <c r="M157" s="133">
        <v>12</v>
      </c>
      <c r="N157" s="133">
        <v>12</v>
      </c>
      <c r="O157" s="133">
        <v>12</v>
      </c>
      <c r="P157" s="139">
        <v>20</v>
      </c>
      <c r="Q157" s="134" t="s">
        <v>45</v>
      </c>
      <c r="R157" s="128"/>
      <c r="S157" s="135">
        <v>12</v>
      </c>
      <c r="T157" s="135">
        <v>12</v>
      </c>
      <c r="U157" s="135">
        <v>12</v>
      </c>
      <c r="V157" s="135">
        <v>12</v>
      </c>
      <c r="W157" s="135">
        <v>12</v>
      </c>
      <c r="X157" s="135">
        <v>12</v>
      </c>
      <c r="Y157" s="135">
        <v>12</v>
      </c>
      <c r="Z157" s="79"/>
      <c r="AA157" s="135">
        <v>20</v>
      </c>
      <c r="AB157" s="136" t="s">
        <v>45</v>
      </c>
      <c r="AC157" s="80"/>
      <c r="AD157" s="81"/>
      <c r="AE157" s="82"/>
      <c r="AF157" s="82"/>
      <c r="AG157" s="82"/>
      <c r="AH157" s="82"/>
      <c r="AI157" s="82"/>
      <c r="AJ157" s="82"/>
      <c r="AK157" s="82"/>
      <c r="AL157" s="82"/>
      <c r="AM157" s="83"/>
      <c r="AN157" s="83"/>
      <c r="AO157" s="84" t="str">
        <f t="shared" si="6"/>
        <v>لا</v>
      </c>
      <c r="AP157" s="85" t="str">
        <f t="shared" si="5"/>
        <v/>
      </c>
      <c r="AQ157" s="84" t="str">
        <f t="shared" si="6"/>
        <v>لا</v>
      </c>
      <c r="AR157" s="85" t="str">
        <f t="shared" si="7"/>
        <v/>
      </c>
      <c r="AS157" s="86" t="str">
        <f t="shared" si="8"/>
        <v>لا</v>
      </c>
      <c r="AT157" s="87" t="str">
        <f t="shared" si="9"/>
        <v/>
      </c>
      <c r="AU157" s="88"/>
      <c r="AV157" s="89"/>
      <c r="AW157" s="90"/>
      <c r="AX157" s="91" cm="1">
        <f t="array" ref="AX157">IFERROR(_xlfn.IFS($AB157="عدد الموظفين/الوحدة",S157*$AA157,$AB157='طريقة الحساب'!$B$2,S157*$AA157/الافتراضات!$B$27,$AB157='طريقة الحساب'!$B$3,S157*$AA157/الافتراضات!$B$26,$AB157='طريقة الحساب'!$B$4,S157*$AA157/الافتراضات!$B$28),"")</f>
        <v>4.0364052706138055E-3</v>
      </c>
      <c r="AY157" s="91" cm="1">
        <f t="array" ref="AY157">IFERROR(_xlfn.IFS($AB157="عدد الموظفين/الوحدة",T157*$AA157,$AB157='طريقة الحساب'!$B$2,T157*$AA157/الافتراضات!$B$27,$AB157='طريقة الحساب'!$B$3,T157*$AA157/الافتراضات!$B$26,$AB157='طريقة الحساب'!$B$4,T157*$AA157/الافتراضات!$B$28),"")</f>
        <v>4.0364052706138055E-3</v>
      </c>
      <c r="AZ157" s="91" cm="1">
        <f t="array" ref="AZ157">IFERROR(_xlfn.IFS($AB157="عدد الموظفين/الوحدة",U157*$AA157,$AB157='طريقة الحساب'!$B$2,U157*$AA157/الافتراضات!$B$27,$AB157='طريقة الحساب'!$B$3,U157*$AA157/الافتراضات!$B$26,$AB157='طريقة الحساب'!$B$4,U157*$AA157/الافتراضات!$B$28),"")</f>
        <v>4.0364052706138055E-3</v>
      </c>
      <c r="BA157" s="91" cm="1">
        <f t="array" ref="BA157">IFERROR(_xlfn.IFS($AB157="عدد الموظفين/الوحدة",V157*$AA157,$AB157='طريقة الحساب'!$B$2,V157*$AA157/الافتراضات!$B$27,$AB157='طريقة الحساب'!$B$3,V157*$AA157/الافتراضات!$B$26,$AB157='طريقة الحساب'!$B$4,V157*$AA157/الافتراضات!$B$28),"")</f>
        <v>4.0364052706138055E-3</v>
      </c>
      <c r="BB157" s="91" cm="1">
        <f t="array" ref="BB157">IFERROR(_xlfn.IFS($AB157="عدد الموظفين/الوحدة",W157*$AA157,$AB157='طريقة الحساب'!$B$2,W157*$AA157/الافتراضات!$B$27,$AB157='طريقة الحساب'!$B$3,W157*$AA157/الافتراضات!$B$26,$AB157='طريقة الحساب'!$B$4,W157*$AA157/الافتراضات!$B$28),"")</f>
        <v>4.0364052706138055E-3</v>
      </c>
      <c r="BC157" s="91" cm="1">
        <f t="array" ref="BC157">IFERROR(_xlfn.IFS($AB157="عدد الموظفين/الوحدة",X157*$AA157,$AB157='طريقة الحساب'!$B$2,X157*$AA157/الافتراضات!$B$27,$AB157='طريقة الحساب'!$B$3,X157*$AA157/الافتراضات!$B$26,$AB157='طريقة الحساب'!$B$4,X157*$AA157/الافتراضات!$B$28),"")</f>
        <v>4.0364052706138055E-3</v>
      </c>
      <c r="BD157" s="91" cm="1">
        <f t="array" ref="BD157">IFERROR(_xlfn.IFS($AB157="عدد الموظفين/الوحدة",Y157*$AA157,$AB157='طريقة الحساب'!$B$2,Y157*$AA157/الافتراضات!$B$27,$AB157='طريقة الحساب'!$B$3,Y157*$AA157/الافتراضات!$B$26,$AB157='طريقة الحساب'!$B$4,Y157*$AA157/الافتراضات!$B$28),"")</f>
        <v>4.0364052706138055E-3</v>
      </c>
      <c r="BE157" s="91" cm="1">
        <f t="array" ref="BE157">IFERROR(_xlfn.IFS($AB157="عدد الموظفين/الوحدة",Z157*$AA157,$AB157='طريقة الحساب'!$B$2,Z157*$AA157/الافتراضات!$B$27,$AB157='طريقة الحساب'!$B$3,Z157*$AA157/الافتراضات!$B$26,$AB157='طريقة الحساب'!$B$4,Z157*$AA157/الافتراضات!$B$28),"")</f>
        <v>0</v>
      </c>
      <c r="BF157" s="92"/>
    </row>
    <row r="158" spans="2:58" x14ac:dyDescent="0.35">
      <c r="B158" s="124" t="s">
        <v>87</v>
      </c>
      <c r="C158" s="131" t="s">
        <v>88</v>
      </c>
      <c r="D158" s="131" t="s">
        <v>90</v>
      </c>
      <c r="E158" s="138" t="s">
        <v>92</v>
      </c>
      <c r="F158" s="125" t="s">
        <v>180</v>
      </c>
      <c r="G158" s="126" t="s">
        <v>84</v>
      </c>
      <c r="H158" s="127"/>
      <c r="I158" s="132">
        <v>1200</v>
      </c>
      <c r="J158" s="133">
        <v>1200</v>
      </c>
      <c r="K158" s="133">
        <v>1200</v>
      </c>
      <c r="L158" s="133">
        <v>1200</v>
      </c>
      <c r="M158" s="133">
        <v>1200</v>
      </c>
      <c r="N158" s="133">
        <v>1200</v>
      </c>
      <c r="O158" s="133">
        <v>1200</v>
      </c>
      <c r="P158" s="139">
        <v>15</v>
      </c>
      <c r="Q158" s="134" t="s">
        <v>45</v>
      </c>
      <c r="R158" s="128"/>
      <c r="S158" s="135">
        <v>1200</v>
      </c>
      <c r="T158" s="135">
        <v>1200</v>
      </c>
      <c r="U158" s="135">
        <v>1200</v>
      </c>
      <c r="V158" s="135">
        <v>1200</v>
      </c>
      <c r="W158" s="135">
        <v>1200</v>
      </c>
      <c r="X158" s="135">
        <v>1200</v>
      </c>
      <c r="Y158" s="135">
        <v>1200</v>
      </c>
      <c r="Z158" s="79"/>
      <c r="AA158" s="135">
        <v>15</v>
      </c>
      <c r="AB158" s="136" t="s">
        <v>45</v>
      </c>
      <c r="AC158" s="80"/>
      <c r="AD158" s="81"/>
      <c r="AE158" s="82"/>
      <c r="AF158" s="82"/>
      <c r="AG158" s="82"/>
      <c r="AH158" s="82"/>
      <c r="AI158" s="82"/>
      <c r="AJ158" s="82"/>
      <c r="AK158" s="82"/>
      <c r="AL158" s="82"/>
      <c r="AM158" s="83"/>
      <c r="AN158" s="83"/>
      <c r="AO158" s="84" t="str">
        <f t="shared" si="6"/>
        <v>لا</v>
      </c>
      <c r="AP158" s="85" t="str">
        <f t="shared" si="5"/>
        <v/>
      </c>
      <c r="AQ158" s="84" t="str">
        <f t="shared" si="6"/>
        <v>لا</v>
      </c>
      <c r="AR158" s="85" t="str">
        <f t="shared" si="7"/>
        <v/>
      </c>
      <c r="AS158" s="86" t="str">
        <f t="shared" si="8"/>
        <v>لا</v>
      </c>
      <c r="AT158" s="87" t="str">
        <f t="shared" si="9"/>
        <v/>
      </c>
      <c r="AU158" s="88"/>
      <c r="AV158" s="89"/>
      <c r="AW158" s="90"/>
      <c r="AX158" s="91" cm="1">
        <f t="array" ref="AX158">IFERROR(_xlfn.IFS($AB158="عدد الموظفين/الوحدة",S158*$AA158,$AB158='طريقة الحساب'!$B$2,S158*$AA158/الافتراضات!$B$27,$AB158='طريقة الحساب'!$B$3,S158*$AA158/الافتراضات!$B$26,$AB158='طريقة الحساب'!$B$4,S158*$AA158/الافتراضات!$B$28),"")</f>
        <v>0.3027303952960354</v>
      </c>
      <c r="AY158" s="91" cm="1">
        <f t="array" ref="AY158">IFERROR(_xlfn.IFS($AB158="عدد الموظفين/الوحدة",T158*$AA158,$AB158='طريقة الحساب'!$B$2,T158*$AA158/الافتراضات!$B$27,$AB158='طريقة الحساب'!$B$3,T158*$AA158/الافتراضات!$B$26,$AB158='طريقة الحساب'!$B$4,T158*$AA158/الافتراضات!$B$28),"")</f>
        <v>0.3027303952960354</v>
      </c>
      <c r="AZ158" s="91" cm="1">
        <f t="array" ref="AZ158">IFERROR(_xlfn.IFS($AB158="عدد الموظفين/الوحدة",U158*$AA158,$AB158='طريقة الحساب'!$B$2,U158*$AA158/الافتراضات!$B$27,$AB158='طريقة الحساب'!$B$3,U158*$AA158/الافتراضات!$B$26,$AB158='طريقة الحساب'!$B$4,U158*$AA158/الافتراضات!$B$28),"")</f>
        <v>0.3027303952960354</v>
      </c>
      <c r="BA158" s="91" cm="1">
        <f t="array" ref="BA158">IFERROR(_xlfn.IFS($AB158="عدد الموظفين/الوحدة",V158*$AA158,$AB158='طريقة الحساب'!$B$2,V158*$AA158/الافتراضات!$B$27,$AB158='طريقة الحساب'!$B$3,V158*$AA158/الافتراضات!$B$26,$AB158='طريقة الحساب'!$B$4,V158*$AA158/الافتراضات!$B$28),"")</f>
        <v>0.3027303952960354</v>
      </c>
      <c r="BB158" s="91" cm="1">
        <f t="array" ref="BB158">IFERROR(_xlfn.IFS($AB158="عدد الموظفين/الوحدة",W158*$AA158,$AB158='طريقة الحساب'!$B$2,W158*$AA158/الافتراضات!$B$27,$AB158='طريقة الحساب'!$B$3,W158*$AA158/الافتراضات!$B$26,$AB158='طريقة الحساب'!$B$4,W158*$AA158/الافتراضات!$B$28),"")</f>
        <v>0.3027303952960354</v>
      </c>
      <c r="BC158" s="91" cm="1">
        <f t="array" ref="BC158">IFERROR(_xlfn.IFS($AB158="عدد الموظفين/الوحدة",X158*$AA158,$AB158='طريقة الحساب'!$B$2,X158*$AA158/الافتراضات!$B$27,$AB158='طريقة الحساب'!$B$3,X158*$AA158/الافتراضات!$B$26,$AB158='طريقة الحساب'!$B$4,X158*$AA158/الافتراضات!$B$28),"")</f>
        <v>0.3027303952960354</v>
      </c>
      <c r="BD158" s="91" cm="1">
        <f t="array" ref="BD158">IFERROR(_xlfn.IFS($AB158="عدد الموظفين/الوحدة",Y158*$AA158,$AB158='طريقة الحساب'!$B$2,Y158*$AA158/الافتراضات!$B$27,$AB158='طريقة الحساب'!$B$3,Y158*$AA158/الافتراضات!$B$26,$AB158='طريقة الحساب'!$B$4,Y158*$AA158/الافتراضات!$B$28),"")</f>
        <v>0.3027303952960354</v>
      </c>
      <c r="BE158" s="91" cm="1">
        <f t="array" ref="BE158">IFERROR(_xlfn.IFS($AB158="عدد الموظفين/الوحدة",Z158*$AA158,$AB158='طريقة الحساب'!$B$2,Z158*$AA158/الافتراضات!$B$27,$AB158='طريقة الحساب'!$B$3,Z158*$AA158/الافتراضات!$B$26,$AB158='طريقة الحساب'!$B$4,Z158*$AA158/الافتراضات!$B$28),"")</f>
        <v>0</v>
      </c>
      <c r="BF158" s="92"/>
    </row>
    <row r="159" spans="2:58" x14ac:dyDescent="0.35">
      <c r="B159" s="124" t="s">
        <v>87</v>
      </c>
      <c r="C159" s="131" t="s">
        <v>88</v>
      </c>
      <c r="D159" s="131" t="s">
        <v>90</v>
      </c>
      <c r="E159" s="138" t="s">
        <v>92</v>
      </c>
      <c r="F159" s="125" t="s">
        <v>181</v>
      </c>
      <c r="G159" s="126" t="s">
        <v>84</v>
      </c>
      <c r="H159" s="127"/>
      <c r="I159" s="132">
        <v>2850</v>
      </c>
      <c r="J159" s="133">
        <v>2850</v>
      </c>
      <c r="K159" s="133">
        <v>2850</v>
      </c>
      <c r="L159" s="133">
        <v>2850</v>
      </c>
      <c r="M159" s="133">
        <v>2850</v>
      </c>
      <c r="N159" s="133">
        <v>2850</v>
      </c>
      <c r="O159" s="133">
        <v>2850</v>
      </c>
      <c r="P159" s="139">
        <v>20</v>
      </c>
      <c r="Q159" s="134" t="s">
        <v>45</v>
      </c>
      <c r="R159" s="128"/>
      <c r="S159" s="135">
        <v>2850</v>
      </c>
      <c r="T159" s="135">
        <v>2850</v>
      </c>
      <c r="U159" s="135">
        <v>2850</v>
      </c>
      <c r="V159" s="135">
        <v>2850</v>
      </c>
      <c r="W159" s="135">
        <v>2850</v>
      </c>
      <c r="X159" s="135">
        <v>2850</v>
      </c>
      <c r="Y159" s="135">
        <v>2850</v>
      </c>
      <c r="Z159" s="79"/>
      <c r="AA159" s="135">
        <v>20</v>
      </c>
      <c r="AB159" s="136" t="s">
        <v>45</v>
      </c>
      <c r="AC159" s="80"/>
      <c r="AD159" s="81"/>
      <c r="AE159" s="82"/>
      <c r="AF159" s="82"/>
      <c r="AG159" s="82"/>
      <c r="AH159" s="82"/>
      <c r="AI159" s="82"/>
      <c r="AJ159" s="82"/>
      <c r="AK159" s="82"/>
      <c r="AL159" s="82"/>
      <c r="AM159" s="83"/>
      <c r="AN159" s="83"/>
      <c r="AO159" s="84" t="str">
        <f t="shared" si="6"/>
        <v>لا</v>
      </c>
      <c r="AP159" s="85" t="str">
        <f t="shared" si="5"/>
        <v/>
      </c>
      <c r="AQ159" s="84" t="str">
        <f t="shared" si="6"/>
        <v>لا</v>
      </c>
      <c r="AR159" s="85" t="str">
        <f t="shared" si="7"/>
        <v/>
      </c>
      <c r="AS159" s="86" t="str">
        <f t="shared" si="8"/>
        <v>لا</v>
      </c>
      <c r="AT159" s="87" t="str">
        <f t="shared" si="9"/>
        <v/>
      </c>
      <c r="AU159" s="88"/>
      <c r="AV159" s="89"/>
      <c r="AW159" s="90"/>
      <c r="AX159" s="91" cm="1">
        <f t="array" ref="AX159">IFERROR(_xlfn.IFS($AB159="عدد الموظفين/الوحدة",S159*$AA159,$AB159='طريقة الحساب'!$B$2,S159*$AA159/الافتراضات!$B$27,$AB159='طريقة الحساب'!$B$3,S159*$AA159/الافتراضات!$B$26,$AB159='طريقة الحساب'!$B$4,S159*$AA159/الافتراضات!$B$28),"")</f>
        <v>0.95864625177077867</v>
      </c>
      <c r="AY159" s="91" cm="1">
        <f t="array" ref="AY159">IFERROR(_xlfn.IFS($AB159="عدد الموظفين/الوحدة",T159*$AA159,$AB159='طريقة الحساب'!$B$2,T159*$AA159/الافتراضات!$B$27,$AB159='طريقة الحساب'!$B$3,T159*$AA159/الافتراضات!$B$26,$AB159='طريقة الحساب'!$B$4,T159*$AA159/الافتراضات!$B$28),"")</f>
        <v>0.95864625177077867</v>
      </c>
      <c r="AZ159" s="91" cm="1">
        <f t="array" ref="AZ159">IFERROR(_xlfn.IFS($AB159="عدد الموظفين/الوحدة",U159*$AA159,$AB159='طريقة الحساب'!$B$2,U159*$AA159/الافتراضات!$B$27,$AB159='طريقة الحساب'!$B$3,U159*$AA159/الافتراضات!$B$26,$AB159='طريقة الحساب'!$B$4,U159*$AA159/الافتراضات!$B$28),"")</f>
        <v>0.95864625177077867</v>
      </c>
      <c r="BA159" s="91" cm="1">
        <f t="array" ref="BA159">IFERROR(_xlfn.IFS($AB159="عدد الموظفين/الوحدة",V159*$AA159,$AB159='طريقة الحساب'!$B$2,V159*$AA159/الافتراضات!$B$27,$AB159='طريقة الحساب'!$B$3,V159*$AA159/الافتراضات!$B$26,$AB159='طريقة الحساب'!$B$4,V159*$AA159/الافتراضات!$B$28),"")</f>
        <v>0.95864625177077867</v>
      </c>
      <c r="BB159" s="91" cm="1">
        <f t="array" ref="BB159">IFERROR(_xlfn.IFS($AB159="عدد الموظفين/الوحدة",W159*$AA159,$AB159='طريقة الحساب'!$B$2,W159*$AA159/الافتراضات!$B$27,$AB159='طريقة الحساب'!$B$3,W159*$AA159/الافتراضات!$B$26,$AB159='طريقة الحساب'!$B$4,W159*$AA159/الافتراضات!$B$28),"")</f>
        <v>0.95864625177077867</v>
      </c>
      <c r="BC159" s="91" cm="1">
        <f t="array" ref="BC159">IFERROR(_xlfn.IFS($AB159="عدد الموظفين/الوحدة",X159*$AA159,$AB159='طريقة الحساب'!$B$2,X159*$AA159/الافتراضات!$B$27,$AB159='طريقة الحساب'!$B$3,X159*$AA159/الافتراضات!$B$26,$AB159='طريقة الحساب'!$B$4,X159*$AA159/الافتراضات!$B$28),"")</f>
        <v>0.95864625177077867</v>
      </c>
      <c r="BD159" s="91" cm="1">
        <f t="array" ref="BD159">IFERROR(_xlfn.IFS($AB159="عدد الموظفين/الوحدة",Y159*$AA159,$AB159='طريقة الحساب'!$B$2,Y159*$AA159/الافتراضات!$B$27,$AB159='طريقة الحساب'!$B$3,Y159*$AA159/الافتراضات!$B$26,$AB159='طريقة الحساب'!$B$4,Y159*$AA159/الافتراضات!$B$28),"")</f>
        <v>0.95864625177077867</v>
      </c>
      <c r="BE159" s="91" cm="1">
        <f t="array" ref="BE159">IFERROR(_xlfn.IFS($AB159="عدد الموظفين/الوحدة",Z159*$AA159,$AB159='طريقة الحساب'!$B$2,Z159*$AA159/الافتراضات!$B$27,$AB159='طريقة الحساب'!$B$3,Z159*$AA159/الافتراضات!$B$26,$AB159='طريقة الحساب'!$B$4,Z159*$AA159/الافتراضات!$B$28),"")</f>
        <v>0</v>
      </c>
      <c r="BF159" s="92"/>
    </row>
    <row r="160" spans="2:58" x14ac:dyDescent="0.35">
      <c r="B160" s="124" t="s">
        <v>87</v>
      </c>
      <c r="C160" s="131" t="s">
        <v>88</v>
      </c>
      <c r="D160" s="131" t="s">
        <v>90</v>
      </c>
      <c r="E160" s="138" t="s">
        <v>92</v>
      </c>
      <c r="F160" s="125" t="s">
        <v>182</v>
      </c>
      <c r="G160" s="126" t="s">
        <v>84</v>
      </c>
      <c r="H160" s="127"/>
      <c r="I160" s="132">
        <v>1000</v>
      </c>
      <c r="J160" s="133">
        <v>1000</v>
      </c>
      <c r="K160" s="133">
        <v>1000</v>
      </c>
      <c r="L160" s="133">
        <v>1000</v>
      </c>
      <c r="M160" s="133">
        <v>1000</v>
      </c>
      <c r="N160" s="133">
        <v>1000</v>
      </c>
      <c r="O160" s="133">
        <v>1000</v>
      </c>
      <c r="P160" s="139">
        <v>5</v>
      </c>
      <c r="Q160" s="134" t="s">
        <v>45</v>
      </c>
      <c r="R160" s="128"/>
      <c r="S160" s="135">
        <v>1000</v>
      </c>
      <c r="T160" s="135">
        <v>1000</v>
      </c>
      <c r="U160" s="135">
        <v>1000</v>
      </c>
      <c r="V160" s="135">
        <v>1000</v>
      </c>
      <c r="W160" s="135">
        <v>1000</v>
      </c>
      <c r="X160" s="135">
        <v>1000</v>
      </c>
      <c r="Y160" s="135">
        <v>1000</v>
      </c>
      <c r="Z160" s="79"/>
      <c r="AA160" s="135">
        <v>5</v>
      </c>
      <c r="AB160" s="136" t="s">
        <v>45</v>
      </c>
      <c r="AC160" s="80"/>
      <c r="AD160" s="81"/>
      <c r="AE160" s="82"/>
      <c r="AF160" s="82"/>
      <c r="AG160" s="82"/>
      <c r="AH160" s="82"/>
      <c r="AI160" s="82"/>
      <c r="AJ160" s="82"/>
      <c r="AK160" s="82"/>
      <c r="AL160" s="82"/>
      <c r="AM160" s="83"/>
      <c r="AN160" s="83"/>
      <c r="AO160" s="84" t="str">
        <f t="shared" si="6"/>
        <v>لا</v>
      </c>
      <c r="AP160" s="85" t="str">
        <f t="shared" si="5"/>
        <v/>
      </c>
      <c r="AQ160" s="84" t="str">
        <f t="shared" si="6"/>
        <v>لا</v>
      </c>
      <c r="AR160" s="85" t="str">
        <f t="shared" si="7"/>
        <v/>
      </c>
      <c r="AS160" s="86" t="str">
        <f t="shared" si="8"/>
        <v>لا</v>
      </c>
      <c r="AT160" s="87" t="str">
        <f t="shared" si="9"/>
        <v/>
      </c>
      <c r="AU160" s="88"/>
      <c r="AV160" s="89"/>
      <c r="AW160" s="90"/>
      <c r="AX160" s="91" cm="1">
        <f t="array" ref="AX160">IFERROR(_xlfn.IFS($AB160="عدد الموظفين/الوحدة",S160*$AA160,$AB160='طريقة الحساب'!$B$2,S160*$AA160/الافتراضات!$B$27,$AB160='طريقة الحساب'!$B$3,S160*$AA160/الافتراضات!$B$26,$AB160='طريقة الحساب'!$B$4,S160*$AA160/الافتراضات!$B$28),"")</f>
        <v>8.4091776471120941E-2</v>
      </c>
      <c r="AY160" s="91" cm="1">
        <f t="array" ref="AY160">IFERROR(_xlfn.IFS($AB160="عدد الموظفين/الوحدة",T160*$AA160,$AB160='طريقة الحساب'!$B$2,T160*$AA160/الافتراضات!$B$27,$AB160='طريقة الحساب'!$B$3,T160*$AA160/الافتراضات!$B$26,$AB160='طريقة الحساب'!$B$4,T160*$AA160/الافتراضات!$B$28),"")</f>
        <v>8.4091776471120941E-2</v>
      </c>
      <c r="AZ160" s="91" cm="1">
        <f t="array" ref="AZ160">IFERROR(_xlfn.IFS($AB160="عدد الموظفين/الوحدة",U160*$AA160,$AB160='طريقة الحساب'!$B$2,U160*$AA160/الافتراضات!$B$27,$AB160='طريقة الحساب'!$B$3,U160*$AA160/الافتراضات!$B$26,$AB160='طريقة الحساب'!$B$4,U160*$AA160/الافتراضات!$B$28),"")</f>
        <v>8.4091776471120941E-2</v>
      </c>
      <c r="BA160" s="91" cm="1">
        <f t="array" ref="BA160">IFERROR(_xlfn.IFS($AB160="عدد الموظفين/الوحدة",V160*$AA160,$AB160='طريقة الحساب'!$B$2,V160*$AA160/الافتراضات!$B$27,$AB160='طريقة الحساب'!$B$3,V160*$AA160/الافتراضات!$B$26,$AB160='طريقة الحساب'!$B$4,V160*$AA160/الافتراضات!$B$28),"")</f>
        <v>8.4091776471120941E-2</v>
      </c>
      <c r="BB160" s="91" cm="1">
        <f t="array" ref="BB160">IFERROR(_xlfn.IFS($AB160="عدد الموظفين/الوحدة",W160*$AA160,$AB160='طريقة الحساب'!$B$2,W160*$AA160/الافتراضات!$B$27,$AB160='طريقة الحساب'!$B$3,W160*$AA160/الافتراضات!$B$26,$AB160='طريقة الحساب'!$B$4,W160*$AA160/الافتراضات!$B$28),"")</f>
        <v>8.4091776471120941E-2</v>
      </c>
      <c r="BC160" s="91" cm="1">
        <f t="array" ref="BC160">IFERROR(_xlfn.IFS($AB160="عدد الموظفين/الوحدة",X160*$AA160,$AB160='طريقة الحساب'!$B$2,X160*$AA160/الافتراضات!$B$27,$AB160='طريقة الحساب'!$B$3,X160*$AA160/الافتراضات!$B$26,$AB160='طريقة الحساب'!$B$4,X160*$AA160/الافتراضات!$B$28),"")</f>
        <v>8.4091776471120941E-2</v>
      </c>
      <c r="BD160" s="91" cm="1">
        <f t="array" ref="BD160">IFERROR(_xlfn.IFS($AB160="عدد الموظفين/الوحدة",Y160*$AA160,$AB160='طريقة الحساب'!$B$2,Y160*$AA160/الافتراضات!$B$27,$AB160='طريقة الحساب'!$B$3,Y160*$AA160/الافتراضات!$B$26,$AB160='طريقة الحساب'!$B$4,Y160*$AA160/الافتراضات!$B$28),"")</f>
        <v>8.4091776471120941E-2</v>
      </c>
      <c r="BE160" s="91" cm="1">
        <f t="array" ref="BE160">IFERROR(_xlfn.IFS($AB160="عدد الموظفين/الوحدة",Z160*$AA160,$AB160='طريقة الحساب'!$B$2,Z160*$AA160/الافتراضات!$B$27,$AB160='طريقة الحساب'!$B$3,Z160*$AA160/الافتراضات!$B$26,$AB160='طريقة الحساب'!$B$4,Z160*$AA160/الافتراضات!$B$28),"")</f>
        <v>0</v>
      </c>
      <c r="BF160" s="92"/>
    </row>
    <row r="161" spans="2:58" x14ac:dyDescent="0.35">
      <c r="B161" s="124" t="s">
        <v>87</v>
      </c>
      <c r="C161" s="131" t="s">
        <v>88</v>
      </c>
      <c r="D161" s="131" t="s">
        <v>90</v>
      </c>
      <c r="E161" s="138" t="s">
        <v>92</v>
      </c>
      <c r="F161" s="125" t="s">
        <v>183</v>
      </c>
      <c r="G161" s="126" t="s">
        <v>84</v>
      </c>
      <c r="H161" s="127"/>
      <c r="I161" s="132">
        <v>2850</v>
      </c>
      <c r="J161" s="133">
        <v>2850</v>
      </c>
      <c r="K161" s="133">
        <v>2850</v>
      </c>
      <c r="L161" s="133">
        <v>2850</v>
      </c>
      <c r="M161" s="133">
        <v>2850</v>
      </c>
      <c r="N161" s="133">
        <v>2850</v>
      </c>
      <c r="O161" s="133">
        <v>2850</v>
      </c>
      <c r="P161" s="139">
        <v>20</v>
      </c>
      <c r="Q161" s="134" t="s">
        <v>45</v>
      </c>
      <c r="R161" s="128"/>
      <c r="S161" s="135">
        <v>2850</v>
      </c>
      <c r="T161" s="135">
        <v>2850</v>
      </c>
      <c r="U161" s="135">
        <v>2850</v>
      </c>
      <c r="V161" s="135">
        <v>2850</v>
      </c>
      <c r="W161" s="135">
        <v>2850</v>
      </c>
      <c r="X161" s="135">
        <v>2850</v>
      </c>
      <c r="Y161" s="135">
        <v>2850</v>
      </c>
      <c r="Z161" s="79"/>
      <c r="AA161" s="135">
        <v>20</v>
      </c>
      <c r="AB161" s="136" t="s">
        <v>45</v>
      </c>
      <c r="AC161" s="80"/>
      <c r="AD161" s="81"/>
      <c r="AE161" s="82"/>
      <c r="AF161" s="82"/>
      <c r="AG161" s="82"/>
      <c r="AH161" s="82"/>
      <c r="AI161" s="82"/>
      <c r="AJ161" s="82"/>
      <c r="AK161" s="82"/>
      <c r="AL161" s="82"/>
      <c r="AM161" s="83"/>
      <c r="AN161" s="83"/>
      <c r="AO161" s="84" t="str">
        <f t="shared" si="6"/>
        <v>لا</v>
      </c>
      <c r="AP161" s="85" t="str">
        <f t="shared" si="5"/>
        <v/>
      </c>
      <c r="AQ161" s="84" t="str">
        <f t="shared" si="6"/>
        <v>لا</v>
      </c>
      <c r="AR161" s="85" t="str">
        <f t="shared" si="7"/>
        <v/>
      </c>
      <c r="AS161" s="86" t="str">
        <f t="shared" si="8"/>
        <v>لا</v>
      </c>
      <c r="AT161" s="87" t="str">
        <f t="shared" si="9"/>
        <v/>
      </c>
      <c r="AU161" s="88"/>
      <c r="AV161" s="89"/>
      <c r="AW161" s="90"/>
      <c r="AX161" s="91" cm="1">
        <f t="array" ref="AX161">IFERROR(_xlfn.IFS($AB161="عدد الموظفين/الوحدة",S161*$AA161,$AB161='طريقة الحساب'!$B$2,S161*$AA161/الافتراضات!$B$27,$AB161='طريقة الحساب'!$B$3,S161*$AA161/الافتراضات!$B$26,$AB161='طريقة الحساب'!$B$4,S161*$AA161/الافتراضات!$B$28),"")</f>
        <v>0.95864625177077867</v>
      </c>
      <c r="AY161" s="91" cm="1">
        <f t="array" ref="AY161">IFERROR(_xlfn.IFS($AB161="عدد الموظفين/الوحدة",T161*$AA161,$AB161='طريقة الحساب'!$B$2,T161*$AA161/الافتراضات!$B$27,$AB161='طريقة الحساب'!$B$3,T161*$AA161/الافتراضات!$B$26,$AB161='طريقة الحساب'!$B$4,T161*$AA161/الافتراضات!$B$28),"")</f>
        <v>0.95864625177077867</v>
      </c>
      <c r="AZ161" s="91" cm="1">
        <f t="array" ref="AZ161">IFERROR(_xlfn.IFS($AB161="عدد الموظفين/الوحدة",U161*$AA161,$AB161='طريقة الحساب'!$B$2,U161*$AA161/الافتراضات!$B$27,$AB161='طريقة الحساب'!$B$3,U161*$AA161/الافتراضات!$B$26,$AB161='طريقة الحساب'!$B$4,U161*$AA161/الافتراضات!$B$28),"")</f>
        <v>0.95864625177077867</v>
      </c>
      <c r="BA161" s="91" cm="1">
        <f t="array" ref="BA161">IFERROR(_xlfn.IFS($AB161="عدد الموظفين/الوحدة",V161*$AA161,$AB161='طريقة الحساب'!$B$2,V161*$AA161/الافتراضات!$B$27,$AB161='طريقة الحساب'!$B$3,V161*$AA161/الافتراضات!$B$26,$AB161='طريقة الحساب'!$B$4,V161*$AA161/الافتراضات!$B$28),"")</f>
        <v>0.95864625177077867</v>
      </c>
      <c r="BB161" s="91" cm="1">
        <f t="array" ref="BB161">IFERROR(_xlfn.IFS($AB161="عدد الموظفين/الوحدة",W161*$AA161,$AB161='طريقة الحساب'!$B$2,W161*$AA161/الافتراضات!$B$27,$AB161='طريقة الحساب'!$B$3,W161*$AA161/الافتراضات!$B$26,$AB161='طريقة الحساب'!$B$4,W161*$AA161/الافتراضات!$B$28),"")</f>
        <v>0.95864625177077867</v>
      </c>
      <c r="BC161" s="91" cm="1">
        <f t="array" ref="BC161">IFERROR(_xlfn.IFS($AB161="عدد الموظفين/الوحدة",X161*$AA161,$AB161='طريقة الحساب'!$B$2,X161*$AA161/الافتراضات!$B$27,$AB161='طريقة الحساب'!$B$3,X161*$AA161/الافتراضات!$B$26,$AB161='طريقة الحساب'!$B$4,X161*$AA161/الافتراضات!$B$28),"")</f>
        <v>0.95864625177077867</v>
      </c>
      <c r="BD161" s="91" cm="1">
        <f t="array" ref="BD161">IFERROR(_xlfn.IFS($AB161="عدد الموظفين/الوحدة",Y161*$AA161,$AB161='طريقة الحساب'!$B$2,Y161*$AA161/الافتراضات!$B$27,$AB161='طريقة الحساب'!$B$3,Y161*$AA161/الافتراضات!$B$26,$AB161='طريقة الحساب'!$B$4,Y161*$AA161/الافتراضات!$B$28),"")</f>
        <v>0.95864625177077867</v>
      </c>
      <c r="BE161" s="91" cm="1">
        <f t="array" ref="BE161">IFERROR(_xlfn.IFS($AB161="عدد الموظفين/الوحدة",Z161*$AA161,$AB161='طريقة الحساب'!$B$2,Z161*$AA161/الافتراضات!$B$27,$AB161='طريقة الحساب'!$B$3,Z161*$AA161/الافتراضات!$B$26,$AB161='طريقة الحساب'!$B$4,Z161*$AA161/الافتراضات!$B$28),"")</f>
        <v>0</v>
      </c>
      <c r="BF161" s="92"/>
    </row>
    <row r="162" spans="2:58" x14ac:dyDescent="0.35">
      <c r="B162" s="124" t="s">
        <v>87</v>
      </c>
      <c r="C162" s="131" t="s">
        <v>88</v>
      </c>
      <c r="D162" s="131" t="s">
        <v>90</v>
      </c>
      <c r="E162" s="138" t="s">
        <v>92</v>
      </c>
      <c r="F162" s="125" t="s">
        <v>184</v>
      </c>
      <c r="G162" s="126" t="s">
        <v>84</v>
      </c>
      <c r="H162" s="127"/>
      <c r="I162" s="132">
        <v>1200</v>
      </c>
      <c r="J162" s="133">
        <v>1200</v>
      </c>
      <c r="K162" s="133">
        <v>1200</v>
      </c>
      <c r="L162" s="133">
        <v>1200</v>
      </c>
      <c r="M162" s="133">
        <v>1200</v>
      </c>
      <c r="N162" s="133">
        <v>1200</v>
      </c>
      <c r="O162" s="133">
        <v>1200</v>
      </c>
      <c r="P162" s="139">
        <v>10</v>
      </c>
      <c r="Q162" s="134" t="s">
        <v>45</v>
      </c>
      <c r="R162" s="128"/>
      <c r="S162" s="135">
        <v>1200</v>
      </c>
      <c r="T162" s="135">
        <v>1200</v>
      </c>
      <c r="U162" s="135">
        <v>1200</v>
      </c>
      <c r="V162" s="135">
        <v>1200</v>
      </c>
      <c r="W162" s="135">
        <v>1200</v>
      </c>
      <c r="X162" s="135">
        <v>1200</v>
      </c>
      <c r="Y162" s="135">
        <v>1200</v>
      </c>
      <c r="Z162" s="79"/>
      <c r="AA162" s="135">
        <v>10</v>
      </c>
      <c r="AB162" s="136" t="s">
        <v>45</v>
      </c>
      <c r="AC162" s="80"/>
      <c r="AD162" s="81"/>
      <c r="AE162" s="82"/>
      <c r="AF162" s="82"/>
      <c r="AG162" s="82"/>
      <c r="AH162" s="82"/>
      <c r="AI162" s="82"/>
      <c r="AJ162" s="82"/>
      <c r="AK162" s="82"/>
      <c r="AL162" s="82"/>
      <c r="AM162" s="83"/>
      <c r="AN162" s="83"/>
      <c r="AO162" s="84" t="str">
        <f t="shared" si="6"/>
        <v>لا</v>
      </c>
      <c r="AP162" s="85" t="str">
        <f t="shared" si="5"/>
        <v/>
      </c>
      <c r="AQ162" s="84" t="str">
        <f t="shared" si="6"/>
        <v>لا</v>
      </c>
      <c r="AR162" s="85" t="str">
        <f t="shared" si="7"/>
        <v/>
      </c>
      <c r="AS162" s="86" t="str">
        <f t="shared" si="8"/>
        <v>لا</v>
      </c>
      <c r="AT162" s="87" t="str">
        <f t="shared" si="9"/>
        <v/>
      </c>
      <c r="AU162" s="88"/>
      <c r="AV162" s="89"/>
      <c r="AW162" s="90"/>
      <c r="AX162" s="91" cm="1">
        <f t="array" ref="AX162">IFERROR(_xlfn.IFS($AB162="عدد الموظفين/الوحدة",S162*$AA162,$AB162='طريقة الحساب'!$B$2,S162*$AA162/الافتراضات!$B$27,$AB162='طريقة الحساب'!$B$3,S162*$AA162/الافتراضات!$B$26,$AB162='طريقة الحساب'!$B$4,S162*$AA162/الافتراضات!$B$28),"")</f>
        <v>0.20182026353069027</v>
      </c>
      <c r="AY162" s="91" cm="1">
        <f t="array" ref="AY162">IFERROR(_xlfn.IFS($AB162="عدد الموظفين/الوحدة",T162*$AA162,$AB162='طريقة الحساب'!$B$2,T162*$AA162/الافتراضات!$B$27,$AB162='طريقة الحساب'!$B$3,T162*$AA162/الافتراضات!$B$26,$AB162='طريقة الحساب'!$B$4,T162*$AA162/الافتراضات!$B$28),"")</f>
        <v>0.20182026353069027</v>
      </c>
      <c r="AZ162" s="91" cm="1">
        <f t="array" ref="AZ162">IFERROR(_xlfn.IFS($AB162="عدد الموظفين/الوحدة",U162*$AA162,$AB162='طريقة الحساب'!$B$2,U162*$AA162/الافتراضات!$B$27,$AB162='طريقة الحساب'!$B$3,U162*$AA162/الافتراضات!$B$26,$AB162='طريقة الحساب'!$B$4,U162*$AA162/الافتراضات!$B$28),"")</f>
        <v>0.20182026353069027</v>
      </c>
      <c r="BA162" s="91" cm="1">
        <f t="array" ref="BA162">IFERROR(_xlfn.IFS($AB162="عدد الموظفين/الوحدة",V162*$AA162,$AB162='طريقة الحساب'!$B$2,V162*$AA162/الافتراضات!$B$27,$AB162='طريقة الحساب'!$B$3,V162*$AA162/الافتراضات!$B$26,$AB162='طريقة الحساب'!$B$4,V162*$AA162/الافتراضات!$B$28),"")</f>
        <v>0.20182026353069027</v>
      </c>
      <c r="BB162" s="91" cm="1">
        <f t="array" ref="BB162">IFERROR(_xlfn.IFS($AB162="عدد الموظفين/الوحدة",W162*$AA162,$AB162='طريقة الحساب'!$B$2,W162*$AA162/الافتراضات!$B$27,$AB162='طريقة الحساب'!$B$3,W162*$AA162/الافتراضات!$B$26,$AB162='طريقة الحساب'!$B$4,W162*$AA162/الافتراضات!$B$28),"")</f>
        <v>0.20182026353069027</v>
      </c>
      <c r="BC162" s="91" cm="1">
        <f t="array" ref="BC162">IFERROR(_xlfn.IFS($AB162="عدد الموظفين/الوحدة",X162*$AA162,$AB162='طريقة الحساب'!$B$2,X162*$AA162/الافتراضات!$B$27,$AB162='طريقة الحساب'!$B$3,X162*$AA162/الافتراضات!$B$26,$AB162='طريقة الحساب'!$B$4,X162*$AA162/الافتراضات!$B$28),"")</f>
        <v>0.20182026353069027</v>
      </c>
      <c r="BD162" s="91" cm="1">
        <f t="array" ref="BD162">IFERROR(_xlfn.IFS($AB162="عدد الموظفين/الوحدة",Y162*$AA162,$AB162='طريقة الحساب'!$B$2,Y162*$AA162/الافتراضات!$B$27,$AB162='طريقة الحساب'!$B$3,Y162*$AA162/الافتراضات!$B$26,$AB162='طريقة الحساب'!$B$4,Y162*$AA162/الافتراضات!$B$28),"")</f>
        <v>0.20182026353069027</v>
      </c>
      <c r="BE162" s="91" cm="1">
        <f t="array" ref="BE162">IFERROR(_xlfn.IFS($AB162="عدد الموظفين/الوحدة",Z162*$AA162,$AB162='طريقة الحساب'!$B$2,Z162*$AA162/الافتراضات!$B$27,$AB162='طريقة الحساب'!$B$3,Z162*$AA162/الافتراضات!$B$26,$AB162='طريقة الحساب'!$B$4,Z162*$AA162/الافتراضات!$B$28),"")</f>
        <v>0</v>
      </c>
      <c r="BF162" s="92"/>
    </row>
    <row r="163" spans="2:58" x14ac:dyDescent="0.35">
      <c r="B163" s="124" t="s">
        <v>87</v>
      </c>
      <c r="C163" s="131" t="s">
        <v>88</v>
      </c>
      <c r="D163" s="131" t="s">
        <v>90</v>
      </c>
      <c r="E163" s="138" t="s">
        <v>92</v>
      </c>
      <c r="F163" s="125" t="s">
        <v>185</v>
      </c>
      <c r="G163" s="126" t="s">
        <v>84</v>
      </c>
      <c r="H163" s="127"/>
      <c r="I163" s="132">
        <v>2850</v>
      </c>
      <c r="J163" s="133">
        <v>2850</v>
      </c>
      <c r="K163" s="133">
        <v>2850</v>
      </c>
      <c r="L163" s="133">
        <v>2850</v>
      </c>
      <c r="M163" s="133">
        <v>2850</v>
      </c>
      <c r="N163" s="133">
        <v>2850</v>
      </c>
      <c r="O163" s="133">
        <v>2850</v>
      </c>
      <c r="P163" s="139">
        <v>25</v>
      </c>
      <c r="Q163" s="134" t="s">
        <v>45</v>
      </c>
      <c r="R163" s="128"/>
      <c r="S163" s="135">
        <v>2850</v>
      </c>
      <c r="T163" s="135">
        <v>2850</v>
      </c>
      <c r="U163" s="135">
        <v>2850</v>
      </c>
      <c r="V163" s="135">
        <v>2850</v>
      </c>
      <c r="W163" s="135">
        <v>2850</v>
      </c>
      <c r="X163" s="135">
        <v>2850</v>
      </c>
      <c r="Y163" s="135">
        <v>2850</v>
      </c>
      <c r="Z163" s="79"/>
      <c r="AA163" s="135">
        <v>25</v>
      </c>
      <c r="AB163" s="136" t="s">
        <v>45</v>
      </c>
      <c r="AC163" s="80"/>
      <c r="AD163" s="81"/>
      <c r="AE163" s="82"/>
      <c r="AF163" s="82"/>
      <c r="AG163" s="82"/>
      <c r="AH163" s="82"/>
      <c r="AI163" s="82"/>
      <c r="AJ163" s="82"/>
      <c r="AK163" s="82"/>
      <c r="AL163" s="82"/>
      <c r="AM163" s="83"/>
      <c r="AN163" s="83"/>
      <c r="AO163" s="84" t="str">
        <f t="shared" si="6"/>
        <v>لا</v>
      </c>
      <c r="AP163" s="85" t="str">
        <f t="shared" si="5"/>
        <v/>
      </c>
      <c r="AQ163" s="84" t="str">
        <f t="shared" si="6"/>
        <v>لا</v>
      </c>
      <c r="AR163" s="85" t="str">
        <f t="shared" si="7"/>
        <v/>
      </c>
      <c r="AS163" s="86" t="str">
        <f t="shared" si="8"/>
        <v>لا</v>
      </c>
      <c r="AT163" s="87" t="str">
        <f t="shared" si="9"/>
        <v/>
      </c>
      <c r="AU163" s="88"/>
      <c r="AV163" s="89"/>
      <c r="AW163" s="90"/>
      <c r="AX163" s="91" cm="1">
        <f t="array" ref="AX163">IFERROR(_xlfn.IFS($AB163="عدد الموظفين/الوحدة",S163*$AA163,$AB163='طريقة الحساب'!$B$2,S163*$AA163/الافتراضات!$B$27,$AB163='طريقة الحساب'!$B$3,S163*$AA163/الافتراضات!$B$26,$AB163='طريقة الحساب'!$B$4,S163*$AA163/الافتراضات!$B$28),"")</f>
        <v>1.1983078147134734</v>
      </c>
      <c r="AY163" s="91" cm="1">
        <f t="array" ref="AY163">IFERROR(_xlfn.IFS($AB163="عدد الموظفين/الوحدة",T163*$AA163,$AB163='طريقة الحساب'!$B$2,T163*$AA163/الافتراضات!$B$27,$AB163='طريقة الحساب'!$B$3,T163*$AA163/الافتراضات!$B$26,$AB163='طريقة الحساب'!$B$4,T163*$AA163/الافتراضات!$B$28),"")</f>
        <v>1.1983078147134734</v>
      </c>
      <c r="AZ163" s="91" cm="1">
        <f t="array" ref="AZ163">IFERROR(_xlfn.IFS($AB163="عدد الموظفين/الوحدة",U163*$AA163,$AB163='طريقة الحساب'!$B$2,U163*$AA163/الافتراضات!$B$27,$AB163='طريقة الحساب'!$B$3,U163*$AA163/الافتراضات!$B$26,$AB163='طريقة الحساب'!$B$4,U163*$AA163/الافتراضات!$B$28),"")</f>
        <v>1.1983078147134734</v>
      </c>
      <c r="BA163" s="91" cm="1">
        <f t="array" ref="BA163">IFERROR(_xlfn.IFS($AB163="عدد الموظفين/الوحدة",V163*$AA163,$AB163='طريقة الحساب'!$B$2,V163*$AA163/الافتراضات!$B$27,$AB163='طريقة الحساب'!$B$3,V163*$AA163/الافتراضات!$B$26,$AB163='طريقة الحساب'!$B$4,V163*$AA163/الافتراضات!$B$28),"")</f>
        <v>1.1983078147134734</v>
      </c>
      <c r="BB163" s="91" cm="1">
        <f t="array" ref="BB163">IFERROR(_xlfn.IFS($AB163="عدد الموظفين/الوحدة",W163*$AA163,$AB163='طريقة الحساب'!$B$2,W163*$AA163/الافتراضات!$B$27,$AB163='طريقة الحساب'!$B$3,W163*$AA163/الافتراضات!$B$26,$AB163='طريقة الحساب'!$B$4,W163*$AA163/الافتراضات!$B$28),"")</f>
        <v>1.1983078147134734</v>
      </c>
      <c r="BC163" s="91" cm="1">
        <f t="array" ref="BC163">IFERROR(_xlfn.IFS($AB163="عدد الموظفين/الوحدة",X163*$AA163,$AB163='طريقة الحساب'!$B$2,X163*$AA163/الافتراضات!$B$27,$AB163='طريقة الحساب'!$B$3,X163*$AA163/الافتراضات!$B$26,$AB163='طريقة الحساب'!$B$4,X163*$AA163/الافتراضات!$B$28),"")</f>
        <v>1.1983078147134734</v>
      </c>
      <c r="BD163" s="91" cm="1">
        <f t="array" ref="BD163">IFERROR(_xlfn.IFS($AB163="عدد الموظفين/الوحدة",Y163*$AA163,$AB163='طريقة الحساب'!$B$2,Y163*$AA163/الافتراضات!$B$27,$AB163='طريقة الحساب'!$B$3,Y163*$AA163/الافتراضات!$B$26,$AB163='طريقة الحساب'!$B$4,Y163*$AA163/الافتراضات!$B$28),"")</f>
        <v>1.1983078147134734</v>
      </c>
      <c r="BE163" s="91" cm="1">
        <f t="array" ref="BE163">IFERROR(_xlfn.IFS($AB163="عدد الموظفين/الوحدة",Z163*$AA163,$AB163='طريقة الحساب'!$B$2,Z163*$AA163/الافتراضات!$B$27,$AB163='طريقة الحساب'!$B$3,Z163*$AA163/الافتراضات!$B$26,$AB163='طريقة الحساب'!$B$4,Z163*$AA163/الافتراضات!$B$28),"")</f>
        <v>0</v>
      </c>
      <c r="BF163" s="92"/>
    </row>
    <row r="164" spans="2:58" x14ac:dyDescent="0.35">
      <c r="B164" s="124" t="s">
        <v>87</v>
      </c>
      <c r="C164" s="131" t="s">
        <v>88</v>
      </c>
      <c r="D164" s="131" t="s">
        <v>90</v>
      </c>
      <c r="E164" s="138" t="s">
        <v>92</v>
      </c>
      <c r="F164" s="125" t="s">
        <v>186</v>
      </c>
      <c r="G164" s="126" t="s">
        <v>84</v>
      </c>
      <c r="H164" s="127"/>
      <c r="I164" s="132">
        <v>2850</v>
      </c>
      <c r="J164" s="133">
        <v>2850</v>
      </c>
      <c r="K164" s="133">
        <v>2850</v>
      </c>
      <c r="L164" s="133">
        <v>2850</v>
      </c>
      <c r="M164" s="133">
        <v>2850</v>
      </c>
      <c r="N164" s="133">
        <v>2850</v>
      </c>
      <c r="O164" s="133">
        <v>2850</v>
      </c>
      <c r="P164" s="139">
        <v>10</v>
      </c>
      <c r="Q164" s="134" t="s">
        <v>45</v>
      </c>
      <c r="R164" s="128"/>
      <c r="S164" s="135">
        <v>2850</v>
      </c>
      <c r="T164" s="135">
        <v>2850</v>
      </c>
      <c r="U164" s="135">
        <v>2850</v>
      </c>
      <c r="V164" s="135">
        <v>2850</v>
      </c>
      <c r="W164" s="135">
        <v>2850</v>
      </c>
      <c r="X164" s="135">
        <v>2850</v>
      </c>
      <c r="Y164" s="135">
        <v>2850</v>
      </c>
      <c r="Z164" s="79"/>
      <c r="AA164" s="135">
        <v>10</v>
      </c>
      <c r="AB164" s="136" t="s">
        <v>45</v>
      </c>
      <c r="AC164" s="80"/>
      <c r="AD164" s="81"/>
      <c r="AE164" s="82"/>
      <c r="AF164" s="82"/>
      <c r="AG164" s="82"/>
      <c r="AH164" s="82"/>
      <c r="AI164" s="82"/>
      <c r="AJ164" s="82"/>
      <c r="AK164" s="82"/>
      <c r="AL164" s="82"/>
      <c r="AM164" s="83"/>
      <c r="AN164" s="83"/>
      <c r="AO164" s="84" t="str">
        <f t="shared" si="6"/>
        <v>لا</v>
      </c>
      <c r="AP164" s="85" t="str">
        <f t="shared" si="5"/>
        <v/>
      </c>
      <c r="AQ164" s="84" t="str">
        <f t="shared" si="6"/>
        <v>لا</v>
      </c>
      <c r="AR164" s="85" t="str">
        <f t="shared" si="7"/>
        <v/>
      </c>
      <c r="AS164" s="86" t="str">
        <f t="shared" si="8"/>
        <v>لا</v>
      </c>
      <c r="AT164" s="87" t="str">
        <f t="shared" si="9"/>
        <v/>
      </c>
      <c r="AU164" s="88"/>
      <c r="AV164" s="89"/>
      <c r="AW164" s="90"/>
      <c r="AX164" s="91" cm="1">
        <f t="array" ref="AX164">IFERROR(_xlfn.IFS($AB164="عدد الموظفين/الوحدة",S164*$AA164,$AB164='طريقة الحساب'!$B$2,S164*$AA164/الافتراضات!$B$27,$AB164='طريقة الحساب'!$B$3,S164*$AA164/الافتراضات!$B$26,$AB164='طريقة الحساب'!$B$4,S164*$AA164/الافتراضات!$B$28),"")</f>
        <v>0.47932312588538933</v>
      </c>
      <c r="AY164" s="91" cm="1">
        <f t="array" ref="AY164">IFERROR(_xlfn.IFS($AB164="عدد الموظفين/الوحدة",T164*$AA164,$AB164='طريقة الحساب'!$B$2,T164*$AA164/الافتراضات!$B$27,$AB164='طريقة الحساب'!$B$3,T164*$AA164/الافتراضات!$B$26,$AB164='طريقة الحساب'!$B$4,T164*$AA164/الافتراضات!$B$28),"")</f>
        <v>0.47932312588538933</v>
      </c>
      <c r="AZ164" s="91" cm="1">
        <f t="array" ref="AZ164">IFERROR(_xlfn.IFS($AB164="عدد الموظفين/الوحدة",U164*$AA164,$AB164='طريقة الحساب'!$B$2,U164*$AA164/الافتراضات!$B$27,$AB164='طريقة الحساب'!$B$3,U164*$AA164/الافتراضات!$B$26,$AB164='طريقة الحساب'!$B$4,U164*$AA164/الافتراضات!$B$28),"")</f>
        <v>0.47932312588538933</v>
      </c>
      <c r="BA164" s="91" cm="1">
        <f t="array" ref="BA164">IFERROR(_xlfn.IFS($AB164="عدد الموظفين/الوحدة",V164*$AA164,$AB164='طريقة الحساب'!$B$2,V164*$AA164/الافتراضات!$B$27,$AB164='طريقة الحساب'!$B$3,V164*$AA164/الافتراضات!$B$26,$AB164='طريقة الحساب'!$B$4,V164*$AA164/الافتراضات!$B$28),"")</f>
        <v>0.47932312588538933</v>
      </c>
      <c r="BB164" s="91" cm="1">
        <f t="array" ref="BB164">IFERROR(_xlfn.IFS($AB164="عدد الموظفين/الوحدة",W164*$AA164,$AB164='طريقة الحساب'!$B$2,W164*$AA164/الافتراضات!$B$27,$AB164='طريقة الحساب'!$B$3,W164*$AA164/الافتراضات!$B$26,$AB164='طريقة الحساب'!$B$4,W164*$AA164/الافتراضات!$B$28),"")</f>
        <v>0.47932312588538933</v>
      </c>
      <c r="BC164" s="91" cm="1">
        <f t="array" ref="BC164">IFERROR(_xlfn.IFS($AB164="عدد الموظفين/الوحدة",X164*$AA164,$AB164='طريقة الحساب'!$B$2,X164*$AA164/الافتراضات!$B$27,$AB164='طريقة الحساب'!$B$3,X164*$AA164/الافتراضات!$B$26,$AB164='طريقة الحساب'!$B$4,X164*$AA164/الافتراضات!$B$28),"")</f>
        <v>0.47932312588538933</v>
      </c>
      <c r="BD164" s="91" cm="1">
        <f t="array" ref="BD164">IFERROR(_xlfn.IFS($AB164="عدد الموظفين/الوحدة",Y164*$AA164,$AB164='طريقة الحساب'!$B$2,Y164*$AA164/الافتراضات!$B$27,$AB164='طريقة الحساب'!$B$3,Y164*$AA164/الافتراضات!$B$26,$AB164='طريقة الحساب'!$B$4,Y164*$AA164/الافتراضات!$B$28),"")</f>
        <v>0.47932312588538933</v>
      </c>
      <c r="BE164" s="91" cm="1">
        <f t="array" ref="BE164">IFERROR(_xlfn.IFS($AB164="عدد الموظفين/الوحدة",Z164*$AA164,$AB164='طريقة الحساب'!$B$2,Z164*$AA164/الافتراضات!$B$27,$AB164='طريقة الحساب'!$B$3,Z164*$AA164/الافتراضات!$B$26,$AB164='طريقة الحساب'!$B$4,Z164*$AA164/الافتراضات!$B$28),"")</f>
        <v>0</v>
      </c>
      <c r="BF164" s="92"/>
    </row>
    <row r="165" spans="2:58" x14ac:dyDescent="0.35">
      <c r="B165" s="124" t="s">
        <v>87</v>
      </c>
      <c r="C165" s="131" t="s">
        <v>88</v>
      </c>
      <c r="D165" s="131" t="s">
        <v>90</v>
      </c>
      <c r="E165" s="138" t="s">
        <v>92</v>
      </c>
      <c r="F165" s="125" t="s">
        <v>217</v>
      </c>
      <c r="G165" s="126" t="s">
        <v>84</v>
      </c>
      <c r="H165" s="127"/>
      <c r="I165" s="132">
        <v>360</v>
      </c>
      <c r="J165" s="133">
        <v>360</v>
      </c>
      <c r="K165" s="133">
        <v>360</v>
      </c>
      <c r="L165" s="133">
        <v>360</v>
      </c>
      <c r="M165" s="133">
        <v>360</v>
      </c>
      <c r="N165" s="133">
        <v>360</v>
      </c>
      <c r="O165" s="133">
        <v>360</v>
      </c>
      <c r="P165" s="139">
        <v>20</v>
      </c>
      <c r="Q165" s="134" t="s">
        <v>45</v>
      </c>
      <c r="R165" s="128"/>
      <c r="S165" s="135">
        <v>360</v>
      </c>
      <c r="T165" s="135">
        <v>360</v>
      </c>
      <c r="U165" s="135">
        <v>360</v>
      </c>
      <c r="V165" s="135">
        <v>360</v>
      </c>
      <c r="W165" s="135">
        <v>360</v>
      </c>
      <c r="X165" s="135">
        <v>360</v>
      </c>
      <c r="Y165" s="135">
        <v>360</v>
      </c>
      <c r="Z165" s="79"/>
      <c r="AA165" s="135">
        <v>20</v>
      </c>
      <c r="AB165" s="136" t="s">
        <v>45</v>
      </c>
      <c r="AC165" s="80"/>
      <c r="AD165" s="81"/>
      <c r="AE165" s="82"/>
      <c r="AF165" s="82"/>
      <c r="AG165" s="82"/>
      <c r="AH165" s="82"/>
      <c r="AI165" s="82"/>
      <c r="AJ165" s="82"/>
      <c r="AK165" s="82"/>
      <c r="AL165" s="82"/>
      <c r="AM165" s="83"/>
      <c r="AN165" s="83"/>
      <c r="AO165" s="84" t="str">
        <f t="shared" si="6"/>
        <v>لا</v>
      </c>
      <c r="AP165" s="85" t="str">
        <f t="shared" si="5"/>
        <v/>
      </c>
      <c r="AQ165" s="84" t="str">
        <f t="shared" si="6"/>
        <v>لا</v>
      </c>
      <c r="AR165" s="85" t="str">
        <f t="shared" si="7"/>
        <v/>
      </c>
      <c r="AS165" s="86" t="str">
        <f t="shared" si="8"/>
        <v>لا</v>
      </c>
      <c r="AT165" s="87" t="str">
        <f t="shared" si="9"/>
        <v/>
      </c>
      <c r="AU165" s="88"/>
      <c r="AV165" s="89"/>
      <c r="AW165" s="90"/>
      <c r="AX165" s="91" cm="1">
        <f t="array" ref="AX165">IFERROR(_xlfn.IFS($AB165="عدد الموظفين/الوحدة",S165*$AA165,$AB165='طريقة الحساب'!$B$2,S165*$AA165/الافتراضات!$B$27,$AB165='طريقة الحساب'!$B$3,S165*$AA165/الافتراضات!$B$26,$AB165='طريقة الحساب'!$B$4,S165*$AA165/الافتراضات!$B$28),"")</f>
        <v>0.12109215811841416</v>
      </c>
      <c r="AY165" s="91" cm="1">
        <f t="array" ref="AY165">IFERROR(_xlfn.IFS($AB165="عدد الموظفين/الوحدة",T165*$AA165,$AB165='طريقة الحساب'!$B$2,T165*$AA165/الافتراضات!$B$27,$AB165='طريقة الحساب'!$B$3,T165*$AA165/الافتراضات!$B$26,$AB165='طريقة الحساب'!$B$4,T165*$AA165/الافتراضات!$B$28),"")</f>
        <v>0.12109215811841416</v>
      </c>
      <c r="AZ165" s="91" cm="1">
        <f t="array" ref="AZ165">IFERROR(_xlfn.IFS($AB165="عدد الموظفين/الوحدة",U165*$AA165,$AB165='طريقة الحساب'!$B$2,U165*$AA165/الافتراضات!$B$27,$AB165='طريقة الحساب'!$B$3,U165*$AA165/الافتراضات!$B$26,$AB165='طريقة الحساب'!$B$4,U165*$AA165/الافتراضات!$B$28),"")</f>
        <v>0.12109215811841416</v>
      </c>
      <c r="BA165" s="91" cm="1">
        <f t="array" ref="BA165">IFERROR(_xlfn.IFS($AB165="عدد الموظفين/الوحدة",V165*$AA165,$AB165='طريقة الحساب'!$B$2,V165*$AA165/الافتراضات!$B$27,$AB165='طريقة الحساب'!$B$3,V165*$AA165/الافتراضات!$B$26,$AB165='طريقة الحساب'!$B$4,V165*$AA165/الافتراضات!$B$28),"")</f>
        <v>0.12109215811841416</v>
      </c>
      <c r="BB165" s="91" cm="1">
        <f t="array" ref="BB165">IFERROR(_xlfn.IFS($AB165="عدد الموظفين/الوحدة",W165*$AA165,$AB165='طريقة الحساب'!$B$2,W165*$AA165/الافتراضات!$B$27,$AB165='طريقة الحساب'!$B$3,W165*$AA165/الافتراضات!$B$26,$AB165='طريقة الحساب'!$B$4,W165*$AA165/الافتراضات!$B$28),"")</f>
        <v>0.12109215811841416</v>
      </c>
      <c r="BC165" s="91" cm="1">
        <f t="array" ref="BC165">IFERROR(_xlfn.IFS($AB165="عدد الموظفين/الوحدة",X165*$AA165,$AB165='طريقة الحساب'!$B$2,X165*$AA165/الافتراضات!$B$27,$AB165='طريقة الحساب'!$B$3,X165*$AA165/الافتراضات!$B$26,$AB165='طريقة الحساب'!$B$4,X165*$AA165/الافتراضات!$B$28),"")</f>
        <v>0.12109215811841416</v>
      </c>
      <c r="BD165" s="91" cm="1">
        <f t="array" ref="BD165">IFERROR(_xlfn.IFS($AB165="عدد الموظفين/الوحدة",Y165*$AA165,$AB165='طريقة الحساب'!$B$2,Y165*$AA165/الافتراضات!$B$27,$AB165='طريقة الحساب'!$B$3,Y165*$AA165/الافتراضات!$B$26,$AB165='طريقة الحساب'!$B$4,Y165*$AA165/الافتراضات!$B$28),"")</f>
        <v>0.12109215811841416</v>
      </c>
      <c r="BE165" s="91" cm="1">
        <f t="array" ref="BE165">IFERROR(_xlfn.IFS($AB165="عدد الموظفين/الوحدة",Z165*$AA165,$AB165='طريقة الحساب'!$B$2,Z165*$AA165/الافتراضات!$B$27,$AB165='طريقة الحساب'!$B$3,Z165*$AA165/الافتراضات!$B$26,$AB165='طريقة الحساب'!$B$4,Z165*$AA165/الافتراضات!$B$28),"")</f>
        <v>0</v>
      </c>
      <c r="BF165" s="92"/>
    </row>
    <row r="166" spans="2:58" x14ac:dyDescent="0.35">
      <c r="B166" s="124" t="s">
        <v>87</v>
      </c>
      <c r="C166" s="131" t="s">
        <v>88</v>
      </c>
      <c r="D166" s="131" t="s">
        <v>90</v>
      </c>
      <c r="E166" s="138" t="s">
        <v>92</v>
      </c>
      <c r="F166" s="125" t="s">
        <v>218</v>
      </c>
      <c r="G166" s="126" t="s">
        <v>84</v>
      </c>
      <c r="H166" s="127"/>
      <c r="I166" s="132">
        <v>300</v>
      </c>
      <c r="J166" s="133">
        <v>300</v>
      </c>
      <c r="K166" s="133">
        <v>300</v>
      </c>
      <c r="L166" s="133">
        <v>300</v>
      </c>
      <c r="M166" s="133">
        <v>300</v>
      </c>
      <c r="N166" s="133">
        <v>300</v>
      </c>
      <c r="O166" s="133">
        <v>300</v>
      </c>
      <c r="P166" s="139">
        <v>15</v>
      </c>
      <c r="Q166" s="134" t="s">
        <v>45</v>
      </c>
      <c r="R166" s="128"/>
      <c r="S166" s="135">
        <v>300</v>
      </c>
      <c r="T166" s="135">
        <v>300</v>
      </c>
      <c r="U166" s="135">
        <v>300</v>
      </c>
      <c r="V166" s="135">
        <v>300</v>
      </c>
      <c r="W166" s="135">
        <v>300</v>
      </c>
      <c r="X166" s="135">
        <v>300</v>
      </c>
      <c r="Y166" s="135">
        <v>300</v>
      </c>
      <c r="Z166" s="79"/>
      <c r="AA166" s="135">
        <v>15</v>
      </c>
      <c r="AB166" s="136" t="s">
        <v>45</v>
      </c>
      <c r="AC166" s="80"/>
      <c r="AD166" s="81"/>
      <c r="AE166" s="82"/>
      <c r="AF166" s="82"/>
      <c r="AG166" s="82"/>
      <c r="AH166" s="82"/>
      <c r="AI166" s="82"/>
      <c r="AJ166" s="82"/>
      <c r="AK166" s="82"/>
      <c r="AL166" s="82"/>
      <c r="AM166" s="83"/>
      <c r="AN166" s="83"/>
      <c r="AO166" s="84" t="str">
        <f t="shared" si="6"/>
        <v>لا</v>
      </c>
      <c r="AP166" s="85" t="str">
        <f t="shared" si="5"/>
        <v/>
      </c>
      <c r="AQ166" s="84" t="str">
        <f t="shared" si="6"/>
        <v>لا</v>
      </c>
      <c r="AR166" s="85" t="str">
        <f t="shared" si="7"/>
        <v/>
      </c>
      <c r="AS166" s="86" t="str">
        <f t="shared" si="8"/>
        <v>لا</v>
      </c>
      <c r="AT166" s="87" t="str">
        <f t="shared" si="9"/>
        <v/>
      </c>
      <c r="AU166" s="88"/>
      <c r="AV166" s="89"/>
      <c r="AW166" s="90"/>
      <c r="AX166" s="91" cm="1">
        <f t="array" ref="AX166">IFERROR(_xlfn.IFS($AB166="عدد الموظفين/الوحدة",S166*$AA166,$AB166='طريقة الحساب'!$B$2,S166*$AA166/الافتراضات!$B$27,$AB166='طريقة الحساب'!$B$3,S166*$AA166/الافتراضات!$B$26,$AB166='طريقة الحساب'!$B$4,S166*$AA166/الافتراضات!$B$28),"")</f>
        <v>7.5682598824008851E-2</v>
      </c>
      <c r="AY166" s="91" cm="1">
        <f t="array" ref="AY166">IFERROR(_xlfn.IFS($AB166="عدد الموظفين/الوحدة",T166*$AA166,$AB166='طريقة الحساب'!$B$2,T166*$AA166/الافتراضات!$B$27,$AB166='طريقة الحساب'!$B$3,T166*$AA166/الافتراضات!$B$26,$AB166='طريقة الحساب'!$B$4,T166*$AA166/الافتراضات!$B$28),"")</f>
        <v>7.5682598824008851E-2</v>
      </c>
      <c r="AZ166" s="91" cm="1">
        <f t="array" ref="AZ166">IFERROR(_xlfn.IFS($AB166="عدد الموظفين/الوحدة",U166*$AA166,$AB166='طريقة الحساب'!$B$2,U166*$AA166/الافتراضات!$B$27,$AB166='طريقة الحساب'!$B$3,U166*$AA166/الافتراضات!$B$26,$AB166='طريقة الحساب'!$B$4,U166*$AA166/الافتراضات!$B$28),"")</f>
        <v>7.5682598824008851E-2</v>
      </c>
      <c r="BA166" s="91" cm="1">
        <f t="array" ref="BA166">IFERROR(_xlfn.IFS($AB166="عدد الموظفين/الوحدة",V166*$AA166,$AB166='طريقة الحساب'!$B$2,V166*$AA166/الافتراضات!$B$27,$AB166='طريقة الحساب'!$B$3,V166*$AA166/الافتراضات!$B$26,$AB166='طريقة الحساب'!$B$4,V166*$AA166/الافتراضات!$B$28),"")</f>
        <v>7.5682598824008851E-2</v>
      </c>
      <c r="BB166" s="91" cm="1">
        <f t="array" ref="BB166">IFERROR(_xlfn.IFS($AB166="عدد الموظفين/الوحدة",W166*$AA166,$AB166='طريقة الحساب'!$B$2,W166*$AA166/الافتراضات!$B$27,$AB166='طريقة الحساب'!$B$3,W166*$AA166/الافتراضات!$B$26,$AB166='طريقة الحساب'!$B$4,W166*$AA166/الافتراضات!$B$28),"")</f>
        <v>7.5682598824008851E-2</v>
      </c>
      <c r="BC166" s="91" cm="1">
        <f t="array" ref="BC166">IFERROR(_xlfn.IFS($AB166="عدد الموظفين/الوحدة",X166*$AA166,$AB166='طريقة الحساب'!$B$2,X166*$AA166/الافتراضات!$B$27,$AB166='طريقة الحساب'!$B$3,X166*$AA166/الافتراضات!$B$26,$AB166='طريقة الحساب'!$B$4,X166*$AA166/الافتراضات!$B$28),"")</f>
        <v>7.5682598824008851E-2</v>
      </c>
      <c r="BD166" s="91" cm="1">
        <f t="array" ref="BD166">IFERROR(_xlfn.IFS($AB166="عدد الموظفين/الوحدة",Y166*$AA166,$AB166='طريقة الحساب'!$B$2,Y166*$AA166/الافتراضات!$B$27,$AB166='طريقة الحساب'!$B$3,Y166*$AA166/الافتراضات!$B$26,$AB166='طريقة الحساب'!$B$4,Y166*$AA166/الافتراضات!$B$28),"")</f>
        <v>7.5682598824008851E-2</v>
      </c>
      <c r="BE166" s="91" cm="1">
        <f t="array" ref="BE166">IFERROR(_xlfn.IFS($AB166="عدد الموظفين/الوحدة",Z166*$AA166,$AB166='طريقة الحساب'!$B$2,Z166*$AA166/الافتراضات!$B$27,$AB166='طريقة الحساب'!$B$3,Z166*$AA166/الافتراضات!$B$26,$AB166='طريقة الحساب'!$B$4,Z166*$AA166/الافتراضات!$B$28),"")</f>
        <v>0</v>
      </c>
      <c r="BF166" s="92"/>
    </row>
    <row r="167" spans="2:58" x14ac:dyDescent="0.35">
      <c r="B167" s="124" t="s">
        <v>87</v>
      </c>
      <c r="C167" s="131" t="s">
        <v>88</v>
      </c>
      <c r="D167" s="131" t="s">
        <v>90</v>
      </c>
      <c r="E167" s="138" t="s">
        <v>92</v>
      </c>
      <c r="F167" s="125" t="s">
        <v>219</v>
      </c>
      <c r="G167" s="126" t="s">
        <v>84</v>
      </c>
      <c r="H167" s="127"/>
      <c r="I167" s="132">
        <v>400</v>
      </c>
      <c r="J167" s="133">
        <v>400</v>
      </c>
      <c r="K167" s="133">
        <v>400</v>
      </c>
      <c r="L167" s="133">
        <v>400</v>
      </c>
      <c r="M167" s="133">
        <v>400</v>
      </c>
      <c r="N167" s="133">
        <v>400</v>
      </c>
      <c r="O167" s="133">
        <v>400</v>
      </c>
      <c r="P167" s="139">
        <v>20</v>
      </c>
      <c r="Q167" s="134" t="s">
        <v>45</v>
      </c>
      <c r="R167" s="128"/>
      <c r="S167" s="135">
        <v>400</v>
      </c>
      <c r="T167" s="135">
        <v>400</v>
      </c>
      <c r="U167" s="135">
        <v>400</v>
      </c>
      <c r="V167" s="135">
        <v>400</v>
      </c>
      <c r="W167" s="135">
        <v>400</v>
      </c>
      <c r="X167" s="135">
        <v>400</v>
      </c>
      <c r="Y167" s="135">
        <v>400</v>
      </c>
      <c r="Z167" s="79"/>
      <c r="AA167" s="135">
        <v>20</v>
      </c>
      <c r="AB167" s="136" t="s">
        <v>45</v>
      </c>
      <c r="AC167" s="80"/>
      <c r="AD167" s="81"/>
      <c r="AE167" s="82"/>
      <c r="AF167" s="82"/>
      <c r="AG167" s="82"/>
      <c r="AH167" s="82"/>
      <c r="AI167" s="82"/>
      <c r="AJ167" s="82"/>
      <c r="AK167" s="82"/>
      <c r="AL167" s="82"/>
      <c r="AM167" s="83"/>
      <c r="AN167" s="83"/>
      <c r="AO167" s="84" t="str">
        <f t="shared" si="6"/>
        <v>لا</v>
      </c>
      <c r="AP167" s="85" t="str">
        <f t="shared" si="5"/>
        <v/>
      </c>
      <c r="AQ167" s="84" t="str">
        <f t="shared" si="6"/>
        <v>لا</v>
      </c>
      <c r="AR167" s="85" t="str">
        <f t="shared" si="7"/>
        <v/>
      </c>
      <c r="AS167" s="86" t="str">
        <f t="shared" si="8"/>
        <v>لا</v>
      </c>
      <c r="AT167" s="87" t="str">
        <f t="shared" si="9"/>
        <v/>
      </c>
      <c r="AU167" s="88"/>
      <c r="AV167" s="89"/>
      <c r="AW167" s="90"/>
      <c r="AX167" s="91" cm="1">
        <f t="array" ref="AX167">IFERROR(_xlfn.IFS($AB167="عدد الموظفين/الوحدة",S167*$AA167,$AB167='طريقة الحساب'!$B$2,S167*$AA167/الافتراضات!$B$27,$AB167='طريقة الحساب'!$B$3,S167*$AA167/الافتراضات!$B$26,$AB167='طريقة الحساب'!$B$4,S167*$AA167/الافتراضات!$B$28),"")</f>
        <v>0.13454684235379349</v>
      </c>
      <c r="AY167" s="91" cm="1">
        <f t="array" ref="AY167">IFERROR(_xlfn.IFS($AB167="عدد الموظفين/الوحدة",T167*$AA167,$AB167='طريقة الحساب'!$B$2,T167*$AA167/الافتراضات!$B$27,$AB167='طريقة الحساب'!$B$3,T167*$AA167/الافتراضات!$B$26,$AB167='طريقة الحساب'!$B$4,T167*$AA167/الافتراضات!$B$28),"")</f>
        <v>0.13454684235379349</v>
      </c>
      <c r="AZ167" s="91" cm="1">
        <f t="array" ref="AZ167">IFERROR(_xlfn.IFS($AB167="عدد الموظفين/الوحدة",U167*$AA167,$AB167='طريقة الحساب'!$B$2,U167*$AA167/الافتراضات!$B$27,$AB167='طريقة الحساب'!$B$3,U167*$AA167/الافتراضات!$B$26,$AB167='طريقة الحساب'!$B$4,U167*$AA167/الافتراضات!$B$28),"")</f>
        <v>0.13454684235379349</v>
      </c>
      <c r="BA167" s="91" cm="1">
        <f t="array" ref="BA167">IFERROR(_xlfn.IFS($AB167="عدد الموظفين/الوحدة",V167*$AA167,$AB167='طريقة الحساب'!$B$2,V167*$AA167/الافتراضات!$B$27,$AB167='طريقة الحساب'!$B$3,V167*$AA167/الافتراضات!$B$26,$AB167='طريقة الحساب'!$B$4,V167*$AA167/الافتراضات!$B$28),"")</f>
        <v>0.13454684235379349</v>
      </c>
      <c r="BB167" s="91" cm="1">
        <f t="array" ref="BB167">IFERROR(_xlfn.IFS($AB167="عدد الموظفين/الوحدة",W167*$AA167,$AB167='طريقة الحساب'!$B$2,W167*$AA167/الافتراضات!$B$27,$AB167='طريقة الحساب'!$B$3,W167*$AA167/الافتراضات!$B$26,$AB167='طريقة الحساب'!$B$4,W167*$AA167/الافتراضات!$B$28),"")</f>
        <v>0.13454684235379349</v>
      </c>
      <c r="BC167" s="91" cm="1">
        <f t="array" ref="BC167">IFERROR(_xlfn.IFS($AB167="عدد الموظفين/الوحدة",X167*$AA167,$AB167='طريقة الحساب'!$B$2,X167*$AA167/الافتراضات!$B$27,$AB167='طريقة الحساب'!$B$3,X167*$AA167/الافتراضات!$B$26,$AB167='طريقة الحساب'!$B$4,X167*$AA167/الافتراضات!$B$28),"")</f>
        <v>0.13454684235379349</v>
      </c>
      <c r="BD167" s="91" cm="1">
        <f t="array" ref="BD167">IFERROR(_xlfn.IFS($AB167="عدد الموظفين/الوحدة",Y167*$AA167,$AB167='طريقة الحساب'!$B$2,Y167*$AA167/الافتراضات!$B$27,$AB167='طريقة الحساب'!$B$3,Y167*$AA167/الافتراضات!$B$26,$AB167='طريقة الحساب'!$B$4,Y167*$AA167/الافتراضات!$B$28),"")</f>
        <v>0.13454684235379349</v>
      </c>
      <c r="BE167" s="91" cm="1">
        <f t="array" ref="BE167">IFERROR(_xlfn.IFS($AB167="عدد الموظفين/الوحدة",Z167*$AA167,$AB167='طريقة الحساب'!$B$2,Z167*$AA167/الافتراضات!$B$27,$AB167='طريقة الحساب'!$B$3,Z167*$AA167/الافتراضات!$B$26,$AB167='طريقة الحساب'!$B$4,Z167*$AA167/الافتراضات!$B$28),"")</f>
        <v>0</v>
      </c>
      <c r="BF167" s="92"/>
    </row>
    <row r="168" spans="2:58" x14ac:dyDescent="0.35">
      <c r="B168" s="124" t="s">
        <v>87</v>
      </c>
      <c r="C168" s="131" t="s">
        <v>88</v>
      </c>
      <c r="D168" s="131" t="s">
        <v>90</v>
      </c>
      <c r="E168" s="138" t="s">
        <v>92</v>
      </c>
      <c r="F168" s="125" t="s">
        <v>220</v>
      </c>
      <c r="G168" s="126" t="s">
        <v>84</v>
      </c>
      <c r="H168" s="127"/>
      <c r="I168" s="132">
        <v>360</v>
      </c>
      <c r="J168" s="133">
        <v>360</v>
      </c>
      <c r="K168" s="133">
        <v>360</v>
      </c>
      <c r="L168" s="133">
        <v>360</v>
      </c>
      <c r="M168" s="133">
        <v>360</v>
      </c>
      <c r="N168" s="133">
        <v>360</v>
      </c>
      <c r="O168" s="133">
        <v>360</v>
      </c>
      <c r="P168" s="139">
        <v>20</v>
      </c>
      <c r="Q168" s="134" t="s">
        <v>45</v>
      </c>
      <c r="R168" s="128"/>
      <c r="S168" s="135">
        <v>360</v>
      </c>
      <c r="T168" s="135">
        <v>360</v>
      </c>
      <c r="U168" s="135">
        <v>360</v>
      </c>
      <c r="V168" s="135">
        <v>360</v>
      </c>
      <c r="W168" s="135">
        <v>360</v>
      </c>
      <c r="X168" s="135">
        <v>360</v>
      </c>
      <c r="Y168" s="135">
        <v>360</v>
      </c>
      <c r="Z168" s="79"/>
      <c r="AA168" s="135">
        <v>20</v>
      </c>
      <c r="AB168" s="136" t="s">
        <v>45</v>
      </c>
      <c r="AC168" s="80"/>
      <c r="AD168" s="81"/>
      <c r="AE168" s="82"/>
      <c r="AF168" s="82"/>
      <c r="AG168" s="82"/>
      <c r="AH168" s="82"/>
      <c r="AI168" s="82"/>
      <c r="AJ168" s="82"/>
      <c r="AK168" s="82"/>
      <c r="AL168" s="82"/>
      <c r="AM168" s="83"/>
      <c r="AN168" s="83"/>
      <c r="AO168" s="84" t="str">
        <f t="shared" si="6"/>
        <v>لا</v>
      </c>
      <c r="AP168" s="85" t="str">
        <f t="shared" si="5"/>
        <v/>
      </c>
      <c r="AQ168" s="84" t="str">
        <f t="shared" si="6"/>
        <v>لا</v>
      </c>
      <c r="AR168" s="85" t="str">
        <f t="shared" si="7"/>
        <v/>
      </c>
      <c r="AS168" s="86" t="str">
        <f t="shared" si="8"/>
        <v>لا</v>
      </c>
      <c r="AT168" s="87" t="str">
        <f t="shared" si="9"/>
        <v/>
      </c>
      <c r="AU168" s="88"/>
      <c r="AV168" s="89"/>
      <c r="AW168" s="90"/>
      <c r="AX168" s="91" cm="1">
        <f t="array" ref="AX168">IFERROR(_xlfn.IFS($AB168="عدد الموظفين/الوحدة",S168*$AA168,$AB168='طريقة الحساب'!$B$2,S168*$AA168/الافتراضات!$B$27,$AB168='طريقة الحساب'!$B$3,S168*$AA168/الافتراضات!$B$26,$AB168='طريقة الحساب'!$B$4,S168*$AA168/الافتراضات!$B$28),"")</f>
        <v>0.12109215811841416</v>
      </c>
      <c r="AY168" s="91" cm="1">
        <f t="array" ref="AY168">IFERROR(_xlfn.IFS($AB168="عدد الموظفين/الوحدة",T168*$AA168,$AB168='طريقة الحساب'!$B$2,T168*$AA168/الافتراضات!$B$27,$AB168='طريقة الحساب'!$B$3,T168*$AA168/الافتراضات!$B$26,$AB168='طريقة الحساب'!$B$4,T168*$AA168/الافتراضات!$B$28),"")</f>
        <v>0.12109215811841416</v>
      </c>
      <c r="AZ168" s="91" cm="1">
        <f t="array" ref="AZ168">IFERROR(_xlfn.IFS($AB168="عدد الموظفين/الوحدة",U168*$AA168,$AB168='طريقة الحساب'!$B$2,U168*$AA168/الافتراضات!$B$27,$AB168='طريقة الحساب'!$B$3,U168*$AA168/الافتراضات!$B$26,$AB168='طريقة الحساب'!$B$4,U168*$AA168/الافتراضات!$B$28),"")</f>
        <v>0.12109215811841416</v>
      </c>
      <c r="BA168" s="91" cm="1">
        <f t="array" ref="BA168">IFERROR(_xlfn.IFS($AB168="عدد الموظفين/الوحدة",V168*$AA168,$AB168='طريقة الحساب'!$B$2,V168*$AA168/الافتراضات!$B$27,$AB168='طريقة الحساب'!$B$3,V168*$AA168/الافتراضات!$B$26,$AB168='طريقة الحساب'!$B$4,V168*$AA168/الافتراضات!$B$28),"")</f>
        <v>0.12109215811841416</v>
      </c>
      <c r="BB168" s="91" cm="1">
        <f t="array" ref="BB168">IFERROR(_xlfn.IFS($AB168="عدد الموظفين/الوحدة",W168*$AA168,$AB168='طريقة الحساب'!$B$2,W168*$AA168/الافتراضات!$B$27,$AB168='طريقة الحساب'!$B$3,W168*$AA168/الافتراضات!$B$26,$AB168='طريقة الحساب'!$B$4,W168*$AA168/الافتراضات!$B$28),"")</f>
        <v>0.12109215811841416</v>
      </c>
      <c r="BC168" s="91" cm="1">
        <f t="array" ref="BC168">IFERROR(_xlfn.IFS($AB168="عدد الموظفين/الوحدة",X168*$AA168,$AB168='طريقة الحساب'!$B$2,X168*$AA168/الافتراضات!$B$27,$AB168='طريقة الحساب'!$B$3,X168*$AA168/الافتراضات!$B$26,$AB168='طريقة الحساب'!$B$4,X168*$AA168/الافتراضات!$B$28),"")</f>
        <v>0.12109215811841416</v>
      </c>
      <c r="BD168" s="91" cm="1">
        <f t="array" ref="BD168">IFERROR(_xlfn.IFS($AB168="عدد الموظفين/الوحدة",Y168*$AA168,$AB168='طريقة الحساب'!$B$2,Y168*$AA168/الافتراضات!$B$27,$AB168='طريقة الحساب'!$B$3,Y168*$AA168/الافتراضات!$B$26,$AB168='طريقة الحساب'!$B$4,Y168*$AA168/الافتراضات!$B$28),"")</f>
        <v>0.12109215811841416</v>
      </c>
      <c r="BE168" s="91" cm="1">
        <f t="array" ref="BE168">IFERROR(_xlfn.IFS($AB168="عدد الموظفين/الوحدة",Z168*$AA168,$AB168='طريقة الحساب'!$B$2,Z168*$AA168/الافتراضات!$B$27,$AB168='طريقة الحساب'!$B$3,Z168*$AA168/الافتراضات!$B$26,$AB168='طريقة الحساب'!$B$4,Z168*$AA168/الافتراضات!$B$28),"")</f>
        <v>0</v>
      </c>
      <c r="BF168" s="92"/>
    </row>
    <row r="169" spans="2:58" x14ac:dyDescent="0.35">
      <c r="B169" s="124" t="s">
        <v>87</v>
      </c>
      <c r="C169" s="131" t="s">
        <v>88</v>
      </c>
      <c r="D169" s="131" t="s">
        <v>90</v>
      </c>
      <c r="E169" s="138" t="s">
        <v>92</v>
      </c>
      <c r="F169" s="125" t="s">
        <v>221</v>
      </c>
      <c r="G169" s="126" t="s">
        <v>84</v>
      </c>
      <c r="H169" s="127"/>
      <c r="I169" s="132">
        <v>200</v>
      </c>
      <c r="J169" s="133">
        <v>200</v>
      </c>
      <c r="K169" s="133">
        <v>200</v>
      </c>
      <c r="L169" s="133">
        <v>200</v>
      </c>
      <c r="M169" s="133">
        <v>200</v>
      </c>
      <c r="N169" s="133">
        <v>200</v>
      </c>
      <c r="O169" s="133">
        <v>200</v>
      </c>
      <c r="P169" s="139">
        <v>20</v>
      </c>
      <c r="Q169" s="134" t="s">
        <v>45</v>
      </c>
      <c r="R169" s="128"/>
      <c r="S169" s="135">
        <v>200</v>
      </c>
      <c r="T169" s="135">
        <v>200</v>
      </c>
      <c r="U169" s="135">
        <v>200</v>
      </c>
      <c r="V169" s="135">
        <v>200</v>
      </c>
      <c r="W169" s="135">
        <v>200</v>
      </c>
      <c r="X169" s="135">
        <v>200</v>
      </c>
      <c r="Y169" s="135">
        <v>200</v>
      </c>
      <c r="Z169" s="79"/>
      <c r="AA169" s="135">
        <v>20</v>
      </c>
      <c r="AB169" s="136" t="s">
        <v>45</v>
      </c>
      <c r="AC169" s="80"/>
      <c r="AD169" s="81"/>
      <c r="AE169" s="82"/>
      <c r="AF169" s="82"/>
      <c r="AG169" s="82"/>
      <c r="AH169" s="82"/>
      <c r="AI169" s="82"/>
      <c r="AJ169" s="82"/>
      <c r="AK169" s="82"/>
      <c r="AL169" s="82"/>
      <c r="AM169" s="83"/>
      <c r="AN169" s="83"/>
      <c r="AO169" s="84" t="str">
        <f t="shared" si="6"/>
        <v>لا</v>
      </c>
      <c r="AP169" s="85" t="str">
        <f t="shared" si="5"/>
        <v/>
      </c>
      <c r="AQ169" s="84" t="str">
        <f t="shared" si="6"/>
        <v>لا</v>
      </c>
      <c r="AR169" s="85" t="str">
        <f t="shared" si="7"/>
        <v/>
      </c>
      <c r="AS169" s="86" t="str">
        <f t="shared" si="8"/>
        <v>لا</v>
      </c>
      <c r="AT169" s="87" t="str">
        <f t="shared" si="9"/>
        <v/>
      </c>
      <c r="AU169" s="88"/>
      <c r="AV169" s="89"/>
      <c r="AW169" s="90"/>
      <c r="AX169" s="91" cm="1">
        <f t="array" ref="AX169">IFERROR(_xlfn.IFS($AB169="عدد الموظفين/الوحدة",S169*$AA169,$AB169='طريقة الحساب'!$B$2,S169*$AA169/الافتراضات!$B$27,$AB169='طريقة الحساب'!$B$3,S169*$AA169/الافتراضات!$B$26,$AB169='طريقة الحساب'!$B$4,S169*$AA169/الافتراضات!$B$28),"")</f>
        <v>6.7273421176896747E-2</v>
      </c>
      <c r="AY169" s="91" cm="1">
        <f t="array" ref="AY169">IFERROR(_xlfn.IFS($AB169="عدد الموظفين/الوحدة",T169*$AA169,$AB169='طريقة الحساب'!$B$2,T169*$AA169/الافتراضات!$B$27,$AB169='طريقة الحساب'!$B$3,T169*$AA169/الافتراضات!$B$26,$AB169='طريقة الحساب'!$B$4,T169*$AA169/الافتراضات!$B$28),"")</f>
        <v>6.7273421176896747E-2</v>
      </c>
      <c r="AZ169" s="91" cm="1">
        <f t="array" ref="AZ169">IFERROR(_xlfn.IFS($AB169="عدد الموظفين/الوحدة",U169*$AA169,$AB169='طريقة الحساب'!$B$2,U169*$AA169/الافتراضات!$B$27,$AB169='طريقة الحساب'!$B$3,U169*$AA169/الافتراضات!$B$26,$AB169='طريقة الحساب'!$B$4,U169*$AA169/الافتراضات!$B$28),"")</f>
        <v>6.7273421176896747E-2</v>
      </c>
      <c r="BA169" s="91" cm="1">
        <f t="array" ref="BA169">IFERROR(_xlfn.IFS($AB169="عدد الموظفين/الوحدة",V169*$AA169,$AB169='طريقة الحساب'!$B$2,V169*$AA169/الافتراضات!$B$27,$AB169='طريقة الحساب'!$B$3,V169*$AA169/الافتراضات!$B$26,$AB169='طريقة الحساب'!$B$4,V169*$AA169/الافتراضات!$B$28),"")</f>
        <v>6.7273421176896747E-2</v>
      </c>
      <c r="BB169" s="91" cm="1">
        <f t="array" ref="BB169">IFERROR(_xlfn.IFS($AB169="عدد الموظفين/الوحدة",W169*$AA169,$AB169='طريقة الحساب'!$B$2,W169*$AA169/الافتراضات!$B$27,$AB169='طريقة الحساب'!$B$3,W169*$AA169/الافتراضات!$B$26,$AB169='طريقة الحساب'!$B$4,W169*$AA169/الافتراضات!$B$28),"")</f>
        <v>6.7273421176896747E-2</v>
      </c>
      <c r="BC169" s="91" cm="1">
        <f t="array" ref="BC169">IFERROR(_xlfn.IFS($AB169="عدد الموظفين/الوحدة",X169*$AA169,$AB169='طريقة الحساب'!$B$2,X169*$AA169/الافتراضات!$B$27,$AB169='طريقة الحساب'!$B$3,X169*$AA169/الافتراضات!$B$26,$AB169='طريقة الحساب'!$B$4,X169*$AA169/الافتراضات!$B$28),"")</f>
        <v>6.7273421176896747E-2</v>
      </c>
      <c r="BD169" s="91" cm="1">
        <f t="array" ref="BD169">IFERROR(_xlfn.IFS($AB169="عدد الموظفين/الوحدة",Y169*$AA169,$AB169='طريقة الحساب'!$B$2,Y169*$AA169/الافتراضات!$B$27,$AB169='طريقة الحساب'!$B$3,Y169*$AA169/الافتراضات!$B$26,$AB169='طريقة الحساب'!$B$4,Y169*$AA169/الافتراضات!$B$28),"")</f>
        <v>6.7273421176896747E-2</v>
      </c>
      <c r="BE169" s="91" cm="1">
        <f t="array" ref="BE169">IFERROR(_xlfn.IFS($AB169="عدد الموظفين/الوحدة",Z169*$AA169,$AB169='طريقة الحساب'!$B$2,Z169*$AA169/الافتراضات!$B$27,$AB169='طريقة الحساب'!$B$3,Z169*$AA169/الافتراضات!$B$26,$AB169='طريقة الحساب'!$B$4,Z169*$AA169/الافتراضات!$B$28),"")</f>
        <v>0</v>
      </c>
      <c r="BF169" s="92"/>
    </row>
    <row r="170" spans="2:58" x14ac:dyDescent="0.35">
      <c r="B170" s="124" t="s">
        <v>87</v>
      </c>
      <c r="C170" s="131" t="s">
        <v>88</v>
      </c>
      <c r="D170" s="131" t="s">
        <v>90</v>
      </c>
      <c r="E170" s="138" t="s">
        <v>92</v>
      </c>
      <c r="F170" s="125" t="s">
        <v>222</v>
      </c>
      <c r="G170" s="126" t="s">
        <v>84</v>
      </c>
      <c r="H170" s="127"/>
      <c r="I170" s="132">
        <v>360</v>
      </c>
      <c r="J170" s="133">
        <v>360</v>
      </c>
      <c r="K170" s="133">
        <v>360</v>
      </c>
      <c r="L170" s="133">
        <v>360</v>
      </c>
      <c r="M170" s="133">
        <v>360</v>
      </c>
      <c r="N170" s="133">
        <v>360</v>
      </c>
      <c r="O170" s="133">
        <v>360</v>
      </c>
      <c r="P170" s="139">
        <v>20</v>
      </c>
      <c r="Q170" s="134" t="s">
        <v>45</v>
      </c>
      <c r="R170" s="128"/>
      <c r="S170" s="135">
        <v>360</v>
      </c>
      <c r="T170" s="135">
        <v>360</v>
      </c>
      <c r="U170" s="135">
        <v>360</v>
      </c>
      <c r="V170" s="135">
        <v>360</v>
      </c>
      <c r="W170" s="135">
        <v>360</v>
      </c>
      <c r="X170" s="135">
        <v>360</v>
      </c>
      <c r="Y170" s="135">
        <v>360</v>
      </c>
      <c r="Z170" s="79"/>
      <c r="AA170" s="135">
        <v>20</v>
      </c>
      <c r="AB170" s="136" t="s">
        <v>45</v>
      </c>
      <c r="AC170" s="80"/>
      <c r="AD170" s="81"/>
      <c r="AE170" s="82"/>
      <c r="AF170" s="82"/>
      <c r="AG170" s="82"/>
      <c r="AH170" s="82"/>
      <c r="AI170" s="82"/>
      <c r="AJ170" s="82"/>
      <c r="AK170" s="82"/>
      <c r="AL170" s="82"/>
      <c r="AM170" s="83"/>
      <c r="AN170" s="83"/>
      <c r="AO170" s="84" t="str">
        <f t="shared" si="6"/>
        <v>لا</v>
      </c>
      <c r="AP170" s="85" t="str">
        <f t="shared" si="5"/>
        <v/>
      </c>
      <c r="AQ170" s="84" t="str">
        <f t="shared" si="6"/>
        <v>لا</v>
      </c>
      <c r="AR170" s="85" t="str">
        <f t="shared" si="7"/>
        <v/>
      </c>
      <c r="AS170" s="86" t="str">
        <f t="shared" si="8"/>
        <v>لا</v>
      </c>
      <c r="AT170" s="87" t="str">
        <f t="shared" si="9"/>
        <v/>
      </c>
      <c r="AU170" s="88"/>
      <c r="AV170" s="89"/>
      <c r="AW170" s="90"/>
      <c r="AX170" s="91" cm="1">
        <f t="array" ref="AX170">IFERROR(_xlfn.IFS($AB170="عدد الموظفين/الوحدة",S170*$AA170,$AB170='طريقة الحساب'!$B$2,S170*$AA170/الافتراضات!$B$27,$AB170='طريقة الحساب'!$B$3,S170*$AA170/الافتراضات!$B$26,$AB170='طريقة الحساب'!$B$4,S170*$AA170/الافتراضات!$B$28),"")</f>
        <v>0.12109215811841416</v>
      </c>
      <c r="AY170" s="91" cm="1">
        <f t="array" ref="AY170">IFERROR(_xlfn.IFS($AB170="عدد الموظفين/الوحدة",T170*$AA170,$AB170='طريقة الحساب'!$B$2,T170*$AA170/الافتراضات!$B$27,$AB170='طريقة الحساب'!$B$3,T170*$AA170/الافتراضات!$B$26,$AB170='طريقة الحساب'!$B$4,T170*$AA170/الافتراضات!$B$28),"")</f>
        <v>0.12109215811841416</v>
      </c>
      <c r="AZ170" s="91" cm="1">
        <f t="array" ref="AZ170">IFERROR(_xlfn.IFS($AB170="عدد الموظفين/الوحدة",U170*$AA170,$AB170='طريقة الحساب'!$B$2,U170*$AA170/الافتراضات!$B$27,$AB170='طريقة الحساب'!$B$3,U170*$AA170/الافتراضات!$B$26,$AB170='طريقة الحساب'!$B$4,U170*$AA170/الافتراضات!$B$28),"")</f>
        <v>0.12109215811841416</v>
      </c>
      <c r="BA170" s="91" cm="1">
        <f t="array" ref="BA170">IFERROR(_xlfn.IFS($AB170="عدد الموظفين/الوحدة",V170*$AA170,$AB170='طريقة الحساب'!$B$2,V170*$AA170/الافتراضات!$B$27,$AB170='طريقة الحساب'!$B$3,V170*$AA170/الافتراضات!$B$26,$AB170='طريقة الحساب'!$B$4,V170*$AA170/الافتراضات!$B$28),"")</f>
        <v>0.12109215811841416</v>
      </c>
      <c r="BB170" s="91" cm="1">
        <f t="array" ref="BB170">IFERROR(_xlfn.IFS($AB170="عدد الموظفين/الوحدة",W170*$AA170,$AB170='طريقة الحساب'!$B$2,W170*$AA170/الافتراضات!$B$27,$AB170='طريقة الحساب'!$B$3,W170*$AA170/الافتراضات!$B$26,$AB170='طريقة الحساب'!$B$4,W170*$AA170/الافتراضات!$B$28),"")</f>
        <v>0.12109215811841416</v>
      </c>
      <c r="BC170" s="91" cm="1">
        <f t="array" ref="BC170">IFERROR(_xlfn.IFS($AB170="عدد الموظفين/الوحدة",X170*$AA170,$AB170='طريقة الحساب'!$B$2,X170*$AA170/الافتراضات!$B$27,$AB170='طريقة الحساب'!$B$3,X170*$AA170/الافتراضات!$B$26,$AB170='طريقة الحساب'!$B$4,X170*$AA170/الافتراضات!$B$28),"")</f>
        <v>0.12109215811841416</v>
      </c>
      <c r="BD170" s="91" cm="1">
        <f t="array" ref="BD170">IFERROR(_xlfn.IFS($AB170="عدد الموظفين/الوحدة",Y170*$AA170,$AB170='طريقة الحساب'!$B$2,Y170*$AA170/الافتراضات!$B$27,$AB170='طريقة الحساب'!$B$3,Y170*$AA170/الافتراضات!$B$26,$AB170='طريقة الحساب'!$B$4,Y170*$AA170/الافتراضات!$B$28),"")</f>
        <v>0.12109215811841416</v>
      </c>
      <c r="BE170" s="91" cm="1">
        <f t="array" ref="BE170">IFERROR(_xlfn.IFS($AB170="عدد الموظفين/الوحدة",Z170*$AA170,$AB170='طريقة الحساب'!$B$2,Z170*$AA170/الافتراضات!$B$27,$AB170='طريقة الحساب'!$B$3,Z170*$AA170/الافتراضات!$B$26,$AB170='طريقة الحساب'!$B$4,Z170*$AA170/الافتراضات!$B$28),"")</f>
        <v>0</v>
      </c>
      <c r="BF170" s="92"/>
    </row>
    <row r="171" spans="2:58" x14ac:dyDescent="0.35">
      <c r="B171" s="124" t="s">
        <v>87</v>
      </c>
      <c r="C171" s="131" t="s">
        <v>88</v>
      </c>
      <c r="D171" s="131" t="s">
        <v>90</v>
      </c>
      <c r="E171" s="138" t="s">
        <v>92</v>
      </c>
      <c r="F171" s="125" t="s">
        <v>223</v>
      </c>
      <c r="G171" s="126" t="s">
        <v>84</v>
      </c>
      <c r="H171" s="127"/>
      <c r="I171" s="132">
        <v>150</v>
      </c>
      <c r="J171" s="133">
        <v>150</v>
      </c>
      <c r="K171" s="133">
        <v>150</v>
      </c>
      <c r="L171" s="133">
        <v>150</v>
      </c>
      <c r="M171" s="133">
        <v>150</v>
      </c>
      <c r="N171" s="133">
        <v>150</v>
      </c>
      <c r="O171" s="133">
        <v>150</v>
      </c>
      <c r="P171" s="139">
        <v>20</v>
      </c>
      <c r="Q171" s="134" t="s">
        <v>45</v>
      </c>
      <c r="R171" s="128"/>
      <c r="S171" s="135">
        <v>150</v>
      </c>
      <c r="T171" s="135">
        <v>150</v>
      </c>
      <c r="U171" s="135">
        <v>150</v>
      </c>
      <c r="V171" s="135">
        <v>150</v>
      </c>
      <c r="W171" s="135">
        <v>150</v>
      </c>
      <c r="X171" s="135">
        <v>150</v>
      </c>
      <c r="Y171" s="135">
        <v>150</v>
      </c>
      <c r="Z171" s="79"/>
      <c r="AA171" s="135">
        <v>20</v>
      </c>
      <c r="AB171" s="136" t="s">
        <v>45</v>
      </c>
      <c r="AC171" s="80"/>
      <c r="AD171" s="81"/>
      <c r="AE171" s="82"/>
      <c r="AF171" s="82"/>
      <c r="AG171" s="82"/>
      <c r="AH171" s="82"/>
      <c r="AI171" s="82"/>
      <c r="AJ171" s="82"/>
      <c r="AK171" s="82"/>
      <c r="AL171" s="82"/>
      <c r="AM171" s="83"/>
      <c r="AN171" s="83"/>
      <c r="AO171" s="84" t="str">
        <f t="shared" si="6"/>
        <v>لا</v>
      </c>
      <c r="AP171" s="85" t="str">
        <f t="shared" si="5"/>
        <v/>
      </c>
      <c r="AQ171" s="84" t="str">
        <f t="shared" si="6"/>
        <v>لا</v>
      </c>
      <c r="AR171" s="85" t="str">
        <f t="shared" si="7"/>
        <v/>
      </c>
      <c r="AS171" s="86" t="str">
        <f t="shared" si="8"/>
        <v>لا</v>
      </c>
      <c r="AT171" s="87" t="str">
        <f t="shared" si="9"/>
        <v/>
      </c>
      <c r="AU171" s="88"/>
      <c r="AV171" s="89"/>
      <c r="AW171" s="90"/>
      <c r="AX171" s="91" cm="1">
        <f t="array" ref="AX171">IFERROR(_xlfn.IFS($AB171="عدد الموظفين/الوحدة",S171*$AA171,$AB171='طريقة الحساب'!$B$2,S171*$AA171/الافتراضات!$B$27,$AB171='طريقة الحساب'!$B$3,S171*$AA171/الافتراضات!$B$26,$AB171='طريقة الحساب'!$B$4,S171*$AA171/الافتراضات!$B$28),"")</f>
        <v>5.0455065882672567E-2</v>
      </c>
      <c r="AY171" s="91" cm="1">
        <f t="array" ref="AY171">IFERROR(_xlfn.IFS($AB171="عدد الموظفين/الوحدة",T171*$AA171,$AB171='طريقة الحساب'!$B$2,T171*$AA171/الافتراضات!$B$27,$AB171='طريقة الحساب'!$B$3,T171*$AA171/الافتراضات!$B$26,$AB171='طريقة الحساب'!$B$4,T171*$AA171/الافتراضات!$B$28),"")</f>
        <v>5.0455065882672567E-2</v>
      </c>
      <c r="AZ171" s="91" cm="1">
        <f t="array" ref="AZ171">IFERROR(_xlfn.IFS($AB171="عدد الموظفين/الوحدة",U171*$AA171,$AB171='طريقة الحساب'!$B$2,U171*$AA171/الافتراضات!$B$27,$AB171='طريقة الحساب'!$B$3,U171*$AA171/الافتراضات!$B$26,$AB171='طريقة الحساب'!$B$4,U171*$AA171/الافتراضات!$B$28),"")</f>
        <v>5.0455065882672567E-2</v>
      </c>
      <c r="BA171" s="91" cm="1">
        <f t="array" ref="BA171">IFERROR(_xlfn.IFS($AB171="عدد الموظفين/الوحدة",V171*$AA171,$AB171='طريقة الحساب'!$B$2,V171*$AA171/الافتراضات!$B$27,$AB171='طريقة الحساب'!$B$3,V171*$AA171/الافتراضات!$B$26,$AB171='طريقة الحساب'!$B$4,V171*$AA171/الافتراضات!$B$28),"")</f>
        <v>5.0455065882672567E-2</v>
      </c>
      <c r="BB171" s="91" cm="1">
        <f t="array" ref="BB171">IFERROR(_xlfn.IFS($AB171="عدد الموظفين/الوحدة",W171*$AA171,$AB171='طريقة الحساب'!$B$2,W171*$AA171/الافتراضات!$B$27,$AB171='طريقة الحساب'!$B$3,W171*$AA171/الافتراضات!$B$26,$AB171='طريقة الحساب'!$B$4,W171*$AA171/الافتراضات!$B$28),"")</f>
        <v>5.0455065882672567E-2</v>
      </c>
      <c r="BC171" s="91" cm="1">
        <f t="array" ref="BC171">IFERROR(_xlfn.IFS($AB171="عدد الموظفين/الوحدة",X171*$AA171,$AB171='طريقة الحساب'!$B$2,X171*$AA171/الافتراضات!$B$27,$AB171='طريقة الحساب'!$B$3,X171*$AA171/الافتراضات!$B$26,$AB171='طريقة الحساب'!$B$4,X171*$AA171/الافتراضات!$B$28),"")</f>
        <v>5.0455065882672567E-2</v>
      </c>
      <c r="BD171" s="91" cm="1">
        <f t="array" ref="BD171">IFERROR(_xlfn.IFS($AB171="عدد الموظفين/الوحدة",Y171*$AA171,$AB171='طريقة الحساب'!$B$2,Y171*$AA171/الافتراضات!$B$27,$AB171='طريقة الحساب'!$B$3,Y171*$AA171/الافتراضات!$B$26,$AB171='طريقة الحساب'!$B$4,Y171*$AA171/الافتراضات!$B$28),"")</f>
        <v>5.0455065882672567E-2</v>
      </c>
      <c r="BE171" s="91" cm="1">
        <f t="array" ref="BE171">IFERROR(_xlfn.IFS($AB171="عدد الموظفين/الوحدة",Z171*$AA171,$AB171='طريقة الحساب'!$B$2,Z171*$AA171/الافتراضات!$B$27,$AB171='طريقة الحساب'!$B$3,Z171*$AA171/الافتراضات!$B$26,$AB171='طريقة الحساب'!$B$4,Z171*$AA171/الافتراضات!$B$28),"")</f>
        <v>0</v>
      </c>
      <c r="BF171" s="92"/>
    </row>
    <row r="172" spans="2:58" x14ac:dyDescent="0.35">
      <c r="B172" s="124" t="s">
        <v>87</v>
      </c>
      <c r="C172" s="131" t="s">
        <v>88</v>
      </c>
      <c r="D172" s="131" t="s">
        <v>90</v>
      </c>
      <c r="E172" s="138" t="s">
        <v>92</v>
      </c>
      <c r="F172" s="125" t="s">
        <v>224</v>
      </c>
      <c r="G172" s="126" t="s">
        <v>84</v>
      </c>
      <c r="H172" s="127"/>
      <c r="I172" s="132">
        <v>150</v>
      </c>
      <c r="J172" s="133">
        <v>150</v>
      </c>
      <c r="K172" s="133">
        <v>150</v>
      </c>
      <c r="L172" s="133">
        <v>150</v>
      </c>
      <c r="M172" s="133">
        <v>150</v>
      </c>
      <c r="N172" s="133">
        <v>150</v>
      </c>
      <c r="O172" s="133">
        <v>150</v>
      </c>
      <c r="P172" s="139">
        <v>20</v>
      </c>
      <c r="Q172" s="134" t="s">
        <v>45</v>
      </c>
      <c r="R172" s="128"/>
      <c r="S172" s="135">
        <v>150</v>
      </c>
      <c r="T172" s="135">
        <v>150</v>
      </c>
      <c r="U172" s="135">
        <v>150</v>
      </c>
      <c r="V172" s="135">
        <v>150</v>
      </c>
      <c r="W172" s="135">
        <v>150</v>
      </c>
      <c r="X172" s="135">
        <v>150</v>
      </c>
      <c r="Y172" s="135">
        <v>150</v>
      </c>
      <c r="Z172" s="79"/>
      <c r="AA172" s="135">
        <v>20</v>
      </c>
      <c r="AB172" s="136" t="s">
        <v>45</v>
      </c>
      <c r="AC172" s="80"/>
      <c r="AD172" s="81"/>
      <c r="AE172" s="82"/>
      <c r="AF172" s="82"/>
      <c r="AG172" s="82"/>
      <c r="AH172" s="82"/>
      <c r="AI172" s="82"/>
      <c r="AJ172" s="82"/>
      <c r="AK172" s="82"/>
      <c r="AL172" s="82"/>
      <c r="AM172" s="83"/>
      <c r="AN172" s="83"/>
      <c r="AO172" s="84" t="str">
        <f t="shared" si="6"/>
        <v>لا</v>
      </c>
      <c r="AP172" s="85" t="str">
        <f t="shared" si="5"/>
        <v/>
      </c>
      <c r="AQ172" s="84" t="str">
        <f t="shared" si="6"/>
        <v>لا</v>
      </c>
      <c r="AR172" s="85" t="str">
        <f t="shared" si="7"/>
        <v/>
      </c>
      <c r="AS172" s="86" t="str">
        <f t="shared" si="8"/>
        <v>لا</v>
      </c>
      <c r="AT172" s="87" t="str">
        <f t="shared" si="9"/>
        <v/>
      </c>
      <c r="AU172" s="88"/>
      <c r="AV172" s="89"/>
      <c r="AW172" s="90"/>
      <c r="AX172" s="91" cm="1">
        <f t="array" ref="AX172">IFERROR(_xlfn.IFS($AB172="عدد الموظفين/الوحدة",S172*$AA172,$AB172='طريقة الحساب'!$B$2,S172*$AA172/الافتراضات!$B$27,$AB172='طريقة الحساب'!$B$3,S172*$AA172/الافتراضات!$B$26,$AB172='طريقة الحساب'!$B$4,S172*$AA172/الافتراضات!$B$28),"")</f>
        <v>5.0455065882672567E-2</v>
      </c>
      <c r="AY172" s="91" cm="1">
        <f t="array" ref="AY172">IFERROR(_xlfn.IFS($AB172="عدد الموظفين/الوحدة",T172*$AA172,$AB172='طريقة الحساب'!$B$2,T172*$AA172/الافتراضات!$B$27,$AB172='طريقة الحساب'!$B$3,T172*$AA172/الافتراضات!$B$26,$AB172='طريقة الحساب'!$B$4,T172*$AA172/الافتراضات!$B$28),"")</f>
        <v>5.0455065882672567E-2</v>
      </c>
      <c r="AZ172" s="91" cm="1">
        <f t="array" ref="AZ172">IFERROR(_xlfn.IFS($AB172="عدد الموظفين/الوحدة",U172*$AA172,$AB172='طريقة الحساب'!$B$2,U172*$AA172/الافتراضات!$B$27,$AB172='طريقة الحساب'!$B$3,U172*$AA172/الافتراضات!$B$26,$AB172='طريقة الحساب'!$B$4,U172*$AA172/الافتراضات!$B$28),"")</f>
        <v>5.0455065882672567E-2</v>
      </c>
      <c r="BA172" s="91" cm="1">
        <f t="array" ref="BA172">IFERROR(_xlfn.IFS($AB172="عدد الموظفين/الوحدة",V172*$AA172,$AB172='طريقة الحساب'!$B$2,V172*$AA172/الافتراضات!$B$27,$AB172='طريقة الحساب'!$B$3,V172*$AA172/الافتراضات!$B$26,$AB172='طريقة الحساب'!$B$4,V172*$AA172/الافتراضات!$B$28),"")</f>
        <v>5.0455065882672567E-2</v>
      </c>
      <c r="BB172" s="91" cm="1">
        <f t="array" ref="BB172">IFERROR(_xlfn.IFS($AB172="عدد الموظفين/الوحدة",W172*$AA172,$AB172='طريقة الحساب'!$B$2,W172*$AA172/الافتراضات!$B$27,$AB172='طريقة الحساب'!$B$3,W172*$AA172/الافتراضات!$B$26,$AB172='طريقة الحساب'!$B$4,W172*$AA172/الافتراضات!$B$28),"")</f>
        <v>5.0455065882672567E-2</v>
      </c>
      <c r="BC172" s="91" cm="1">
        <f t="array" ref="BC172">IFERROR(_xlfn.IFS($AB172="عدد الموظفين/الوحدة",X172*$AA172,$AB172='طريقة الحساب'!$B$2,X172*$AA172/الافتراضات!$B$27,$AB172='طريقة الحساب'!$B$3,X172*$AA172/الافتراضات!$B$26,$AB172='طريقة الحساب'!$B$4,X172*$AA172/الافتراضات!$B$28),"")</f>
        <v>5.0455065882672567E-2</v>
      </c>
      <c r="BD172" s="91" cm="1">
        <f t="array" ref="BD172">IFERROR(_xlfn.IFS($AB172="عدد الموظفين/الوحدة",Y172*$AA172,$AB172='طريقة الحساب'!$B$2,Y172*$AA172/الافتراضات!$B$27,$AB172='طريقة الحساب'!$B$3,Y172*$AA172/الافتراضات!$B$26,$AB172='طريقة الحساب'!$B$4,Y172*$AA172/الافتراضات!$B$28),"")</f>
        <v>5.0455065882672567E-2</v>
      </c>
      <c r="BE172" s="91" cm="1">
        <f t="array" ref="BE172">IFERROR(_xlfn.IFS($AB172="عدد الموظفين/الوحدة",Z172*$AA172,$AB172='طريقة الحساب'!$B$2,Z172*$AA172/الافتراضات!$B$27,$AB172='طريقة الحساب'!$B$3,Z172*$AA172/الافتراضات!$B$26,$AB172='طريقة الحساب'!$B$4,Z172*$AA172/الافتراضات!$B$28),"")</f>
        <v>0</v>
      </c>
      <c r="BF172" s="92"/>
    </row>
    <row r="173" spans="2:58" x14ac:dyDescent="0.35">
      <c r="B173" s="124" t="s">
        <v>87</v>
      </c>
      <c r="C173" s="131" t="s">
        <v>88</v>
      </c>
      <c r="D173" s="131" t="s">
        <v>90</v>
      </c>
      <c r="E173" s="138" t="s">
        <v>92</v>
      </c>
      <c r="F173" s="125" t="s">
        <v>225</v>
      </c>
      <c r="G173" s="126" t="s">
        <v>84</v>
      </c>
      <c r="H173" s="127"/>
      <c r="I173" s="132">
        <v>100</v>
      </c>
      <c r="J173" s="133">
        <v>100</v>
      </c>
      <c r="K173" s="133">
        <v>100</v>
      </c>
      <c r="L173" s="133">
        <v>100</v>
      </c>
      <c r="M173" s="133">
        <v>100</v>
      </c>
      <c r="N173" s="133">
        <v>100</v>
      </c>
      <c r="O173" s="133">
        <v>100</v>
      </c>
      <c r="P173" s="139">
        <v>20</v>
      </c>
      <c r="Q173" s="134" t="s">
        <v>45</v>
      </c>
      <c r="R173" s="128"/>
      <c r="S173" s="135">
        <v>100</v>
      </c>
      <c r="T173" s="135">
        <v>100</v>
      </c>
      <c r="U173" s="135">
        <v>100</v>
      </c>
      <c r="V173" s="135">
        <v>100</v>
      </c>
      <c r="W173" s="135">
        <v>100</v>
      </c>
      <c r="X173" s="135">
        <v>100</v>
      </c>
      <c r="Y173" s="135">
        <v>100</v>
      </c>
      <c r="Z173" s="79"/>
      <c r="AA173" s="135">
        <v>20</v>
      </c>
      <c r="AB173" s="136" t="s">
        <v>45</v>
      </c>
      <c r="AC173" s="80"/>
      <c r="AD173" s="81"/>
      <c r="AE173" s="82"/>
      <c r="AF173" s="82"/>
      <c r="AG173" s="82"/>
      <c r="AH173" s="82"/>
      <c r="AI173" s="82"/>
      <c r="AJ173" s="82"/>
      <c r="AK173" s="82"/>
      <c r="AL173" s="82"/>
      <c r="AM173" s="83"/>
      <c r="AN173" s="83"/>
      <c r="AO173" s="84" t="str">
        <f t="shared" si="6"/>
        <v>لا</v>
      </c>
      <c r="AP173" s="85" t="str">
        <f t="shared" si="5"/>
        <v/>
      </c>
      <c r="AQ173" s="84" t="str">
        <f t="shared" si="6"/>
        <v>لا</v>
      </c>
      <c r="AR173" s="85" t="str">
        <f t="shared" si="7"/>
        <v/>
      </c>
      <c r="AS173" s="86" t="str">
        <f t="shared" si="8"/>
        <v>لا</v>
      </c>
      <c r="AT173" s="87" t="str">
        <f t="shared" si="9"/>
        <v/>
      </c>
      <c r="AU173" s="88"/>
      <c r="AV173" s="89"/>
      <c r="AW173" s="90"/>
      <c r="AX173" s="91" cm="1">
        <f t="array" ref="AX173">IFERROR(_xlfn.IFS($AB173="عدد الموظفين/الوحدة",S173*$AA173,$AB173='طريقة الحساب'!$B$2,S173*$AA173/الافتراضات!$B$27,$AB173='طريقة الحساب'!$B$3,S173*$AA173/الافتراضات!$B$26,$AB173='طريقة الحساب'!$B$4,S173*$AA173/الافتراضات!$B$28),"")</f>
        <v>3.3636710588448374E-2</v>
      </c>
      <c r="AY173" s="91" cm="1">
        <f t="array" ref="AY173">IFERROR(_xlfn.IFS($AB173="عدد الموظفين/الوحدة",T173*$AA173,$AB173='طريقة الحساب'!$B$2,T173*$AA173/الافتراضات!$B$27,$AB173='طريقة الحساب'!$B$3,T173*$AA173/الافتراضات!$B$26,$AB173='طريقة الحساب'!$B$4,T173*$AA173/الافتراضات!$B$28),"")</f>
        <v>3.3636710588448374E-2</v>
      </c>
      <c r="AZ173" s="91" cm="1">
        <f t="array" ref="AZ173">IFERROR(_xlfn.IFS($AB173="عدد الموظفين/الوحدة",U173*$AA173,$AB173='طريقة الحساب'!$B$2,U173*$AA173/الافتراضات!$B$27,$AB173='طريقة الحساب'!$B$3,U173*$AA173/الافتراضات!$B$26,$AB173='طريقة الحساب'!$B$4,U173*$AA173/الافتراضات!$B$28),"")</f>
        <v>3.3636710588448374E-2</v>
      </c>
      <c r="BA173" s="91" cm="1">
        <f t="array" ref="BA173">IFERROR(_xlfn.IFS($AB173="عدد الموظفين/الوحدة",V173*$AA173,$AB173='طريقة الحساب'!$B$2,V173*$AA173/الافتراضات!$B$27,$AB173='طريقة الحساب'!$B$3,V173*$AA173/الافتراضات!$B$26,$AB173='طريقة الحساب'!$B$4,V173*$AA173/الافتراضات!$B$28),"")</f>
        <v>3.3636710588448374E-2</v>
      </c>
      <c r="BB173" s="91" cm="1">
        <f t="array" ref="BB173">IFERROR(_xlfn.IFS($AB173="عدد الموظفين/الوحدة",W173*$AA173,$AB173='طريقة الحساب'!$B$2,W173*$AA173/الافتراضات!$B$27,$AB173='طريقة الحساب'!$B$3,W173*$AA173/الافتراضات!$B$26,$AB173='طريقة الحساب'!$B$4,W173*$AA173/الافتراضات!$B$28),"")</f>
        <v>3.3636710588448374E-2</v>
      </c>
      <c r="BC173" s="91" cm="1">
        <f t="array" ref="BC173">IFERROR(_xlfn.IFS($AB173="عدد الموظفين/الوحدة",X173*$AA173,$AB173='طريقة الحساب'!$B$2,X173*$AA173/الافتراضات!$B$27,$AB173='طريقة الحساب'!$B$3,X173*$AA173/الافتراضات!$B$26,$AB173='طريقة الحساب'!$B$4,X173*$AA173/الافتراضات!$B$28),"")</f>
        <v>3.3636710588448374E-2</v>
      </c>
      <c r="BD173" s="91" cm="1">
        <f t="array" ref="BD173">IFERROR(_xlfn.IFS($AB173="عدد الموظفين/الوحدة",Y173*$AA173,$AB173='طريقة الحساب'!$B$2,Y173*$AA173/الافتراضات!$B$27,$AB173='طريقة الحساب'!$B$3,Y173*$AA173/الافتراضات!$B$26,$AB173='طريقة الحساب'!$B$4,Y173*$AA173/الافتراضات!$B$28),"")</f>
        <v>3.3636710588448374E-2</v>
      </c>
      <c r="BE173" s="91" cm="1">
        <f t="array" ref="BE173">IFERROR(_xlfn.IFS($AB173="عدد الموظفين/الوحدة",Z173*$AA173,$AB173='طريقة الحساب'!$B$2,Z173*$AA173/الافتراضات!$B$27,$AB173='طريقة الحساب'!$B$3,Z173*$AA173/الافتراضات!$B$26,$AB173='طريقة الحساب'!$B$4,Z173*$AA173/الافتراضات!$B$28),"")</f>
        <v>0</v>
      </c>
      <c r="BF173" s="92"/>
    </row>
    <row r="174" spans="2:58" x14ac:dyDescent="0.35">
      <c r="B174" s="124" t="s">
        <v>87</v>
      </c>
      <c r="C174" s="131" t="s">
        <v>88</v>
      </c>
      <c r="D174" s="131" t="s">
        <v>90</v>
      </c>
      <c r="E174" s="138" t="s">
        <v>92</v>
      </c>
      <c r="F174" s="125" t="s">
        <v>226</v>
      </c>
      <c r="G174" s="126" t="s">
        <v>84</v>
      </c>
      <c r="H174" s="127"/>
      <c r="I174" s="132">
        <v>200</v>
      </c>
      <c r="J174" s="133">
        <v>200</v>
      </c>
      <c r="K174" s="133">
        <v>200</v>
      </c>
      <c r="L174" s="133">
        <v>200</v>
      </c>
      <c r="M174" s="133">
        <v>200</v>
      </c>
      <c r="N174" s="133">
        <v>200</v>
      </c>
      <c r="O174" s="133">
        <v>200</v>
      </c>
      <c r="P174" s="139">
        <v>20</v>
      </c>
      <c r="Q174" s="134" t="s">
        <v>45</v>
      </c>
      <c r="R174" s="128"/>
      <c r="S174" s="135">
        <v>200</v>
      </c>
      <c r="T174" s="135">
        <v>200</v>
      </c>
      <c r="U174" s="135">
        <v>200</v>
      </c>
      <c r="V174" s="135">
        <v>200</v>
      </c>
      <c r="W174" s="135">
        <v>200</v>
      </c>
      <c r="X174" s="135">
        <v>200</v>
      </c>
      <c r="Y174" s="135">
        <v>200</v>
      </c>
      <c r="Z174" s="79"/>
      <c r="AA174" s="135">
        <v>20</v>
      </c>
      <c r="AB174" s="136" t="s">
        <v>45</v>
      </c>
      <c r="AC174" s="80"/>
      <c r="AD174" s="81"/>
      <c r="AE174" s="82"/>
      <c r="AF174" s="82"/>
      <c r="AG174" s="82"/>
      <c r="AH174" s="82"/>
      <c r="AI174" s="82"/>
      <c r="AJ174" s="82"/>
      <c r="AK174" s="82"/>
      <c r="AL174" s="82"/>
      <c r="AM174" s="83"/>
      <c r="AN174" s="83"/>
      <c r="AO174" s="84" t="str">
        <f t="shared" si="6"/>
        <v>لا</v>
      </c>
      <c r="AP174" s="85" t="str">
        <f t="shared" si="5"/>
        <v/>
      </c>
      <c r="AQ174" s="84" t="str">
        <f t="shared" si="6"/>
        <v>لا</v>
      </c>
      <c r="AR174" s="85" t="str">
        <f t="shared" si="7"/>
        <v/>
      </c>
      <c r="AS174" s="86" t="str">
        <f t="shared" si="8"/>
        <v>لا</v>
      </c>
      <c r="AT174" s="87" t="str">
        <f t="shared" si="9"/>
        <v/>
      </c>
      <c r="AU174" s="88"/>
      <c r="AV174" s="89"/>
      <c r="AW174" s="90"/>
      <c r="AX174" s="91" cm="1">
        <f t="array" ref="AX174">IFERROR(_xlfn.IFS($AB174="عدد الموظفين/الوحدة",S174*$AA174,$AB174='طريقة الحساب'!$B$2,S174*$AA174/الافتراضات!$B$27,$AB174='طريقة الحساب'!$B$3,S174*$AA174/الافتراضات!$B$26,$AB174='طريقة الحساب'!$B$4,S174*$AA174/الافتراضات!$B$28),"")</f>
        <v>6.7273421176896747E-2</v>
      </c>
      <c r="AY174" s="91" cm="1">
        <f t="array" ref="AY174">IFERROR(_xlfn.IFS($AB174="عدد الموظفين/الوحدة",T174*$AA174,$AB174='طريقة الحساب'!$B$2,T174*$AA174/الافتراضات!$B$27,$AB174='طريقة الحساب'!$B$3,T174*$AA174/الافتراضات!$B$26,$AB174='طريقة الحساب'!$B$4,T174*$AA174/الافتراضات!$B$28),"")</f>
        <v>6.7273421176896747E-2</v>
      </c>
      <c r="AZ174" s="91" cm="1">
        <f t="array" ref="AZ174">IFERROR(_xlfn.IFS($AB174="عدد الموظفين/الوحدة",U174*$AA174,$AB174='طريقة الحساب'!$B$2,U174*$AA174/الافتراضات!$B$27,$AB174='طريقة الحساب'!$B$3,U174*$AA174/الافتراضات!$B$26,$AB174='طريقة الحساب'!$B$4,U174*$AA174/الافتراضات!$B$28),"")</f>
        <v>6.7273421176896747E-2</v>
      </c>
      <c r="BA174" s="91" cm="1">
        <f t="array" ref="BA174">IFERROR(_xlfn.IFS($AB174="عدد الموظفين/الوحدة",V174*$AA174,$AB174='طريقة الحساب'!$B$2,V174*$AA174/الافتراضات!$B$27,$AB174='طريقة الحساب'!$B$3,V174*$AA174/الافتراضات!$B$26,$AB174='طريقة الحساب'!$B$4,V174*$AA174/الافتراضات!$B$28),"")</f>
        <v>6.7273421176896747E-2</v>
      </c>
      <c r="BB174" s="91" cm="1">
        <f t="array" ref="BB174">IFERROR(_xlfn.IFS($AB174="عدد الموظفين/الوحدة",W174*$AA174,$AB174='طريقة الحساب'!$B$2,W174*$AA174/الافتراضات!$B$27,$AB174='طريقة الحساب'!$B$3,W174*$AA174/الافتراضات!$B$26,$AB174='طريقة الحساب'!$B$4,W174*$AA174/الافتراضات!$B$28),"")</f>
        <v>6.7273421176896747E-2</v>
      </c>
      <c r="BC174" s="91" cm="1">
        <f t="array" ref="BC174">IFERROR(_xlfn.IFS($AB174="عدد الموظفين/الوحدة",X174*$AA174,$AB174='طريقة الحساب'!$B$2,X174*$AA174/الافتراضات!$B$27,$AB174='طريقة الحساب'!$B$3,X174*$AA174/الافتراضات!$B$26,$AB174='طريقة الحساب'!$B$4,X174*$AA174/الافتراضات!$B$28),"")</f>
        <v>6.7273421176896747E-2</v>
      </c>
      <c r="BD174" s="91" cm="1">
        <f t="array" ref="BD174">IFERROR(_xlfn.IFS($AB174="عدد الموظفين/الوحدة",Y174*$AA174,$AB174='طريقة الحساب'!$B$2,Y174*$AA174/الافتراضات!$B$27,$AB174='طريقة الحساب'!$B$3,Y174*$AA174/الافتراضات!$B$26,$AB174='طريقة الحساب'!$B$4,Y174*$AA174/الافتراضات!$B$28),"")</f>
        <v>6.7273421176896747E-2</v>
      </c>
      <c r="BE174" s="91" cm="1">
        <f t="array" ref="BE174">IFERROR(_xlfn.IFS($AB174="عدد الموظفين/الوحدة",Z174*$AA174,$AB174='طريقة الحساب'!$B$2,Z174*$AA174/الافتراضات!$B$27,$AB174='طريقة الحساب'!$B$3,Z174*$AA174/الافتراضات!$B$26,$AB174='طريقة الحساب'!$B$4,Z174*$AA174/الافتراضات!$B$28),"")</f>
        <v>0</v>
      </c>
      <c r="BF174" s="92"/>
    </row>
    <row r="175" spans="2:58" x14ac:dyDescent="0.35">
      <c r="B175" s="124" t="s">
        <v>87</v>
      </c>
      <c r="C175" s="131" t="s">
        <v>88</v>
      </c>
      <c r="D175" s="131" t="s">
        <v>90</v>
      </c>
      <c r="E175" s="138" t="s">
        <v>92</v>
      </c>
      <c r="F175" s="125" t="s">
        <v>227</v>
      </c>
      <c r="G175" s="126" t="s">
        <v>84</v>
      </c>
      <c r="H175" s="127"/>
      <c r="I175" s="132">
        <v>250</v>
      </c>
      <c r="J175" s="133">
        <v>250</v>
      </c>
      <c r="K175" s="133">
        <v>250</v>
      </c>
      <c r="L175" s="133">
        <v>250</v>
      </c>
      <c r="M175" s="133">
        <v>250</v>
      </c>
      <c r="N175" s="133">
        <v>250</v>
      </c>
      <c r="O175" s="133">
        <v>250</v>
      </c>
      <c r="P175" s="139">
        <v>20</v>
      </c>
      <c r="Q175" s="134" t="s">
        <v>45</v>
      </c>
      <c r="R175" s="128"/>
      <c r="S175" s="135">
        <v>250</v>
      </c>
      <c r="T175" s="135">
        <v>250</v>
      </c>
      <c r="U175" s="135">
        <v>250</v>
      </c>
      <c r="V175" s="135">
        <v>250</v>
      </c>
      <c r="W175" s="135">
        <v>250</v>
      </c>
      <c r="X175" s="135">
        <v>250</v>
      </c>
      <c r="Y175" s="135">
        <v>250</v>
      </c>
      <c r="Z175" s="79"/>
      <c r="AA175" s="135">
        <v>20</v>
      </c>
      <c r="AB175" s="136" t="s">
        <v>45</v>
      </c>
      <c r="AC175" s="80"/>
      <c r="AD175" s="81"/>
      <c r="AE175" s="82"/>
      <c r="AF175" s="82"/>
      <c r="AG175" s="82"/>
      <c r="AH175" s="82"/>
      <c r="AI175" s="82"/>
      <c r="AJ175" s="82"/>
      <c r="AK175" s="82"/>
      <c r="AL175" s="82"/>
      <c r="AM175" s="83"/>
      <c r="AN175" s="83"/>
      <c r="AO175" s="84" t="str">
        <f t="shared" si="6"/>
        <v>لا</v>
      </c>
      <c r="AP175" s="85" t="str">
        <f t="shared" si="5"/>
        <v/>
      </c>
      <c r="AQ175" s="84" t="str">
        <f t="shared" si="6"/>
        <v>لا</v>
      </c>
      <c r="AR175" s="85" t="str">
        <f t="shared" si="7"/>
        <v/>
      </c>
      <c r="AS175" s="86" t="str">
        <f t="shared" si="8"/>
        <v>لا</v>
      </c>
      <c r="AT175" s="87" t="str">
        <f t="shared" si="9"/>
        <v/>
      </c>
      <c r="AU175" s="88"/>
      <c r="AV175" s="89"/>
      <c r="AW175" s="90"/>
      <c r="AX175" s="91" cm="1">
        <f t="array" ref="AX175">IFERROR(_xlfn.IFS($AB175="عدد الموظفين/الوحدة",S175*$AA175,$AB175='طريقة الحساب'!$B$2,S175*$AA175/الافتراضات!$B$27,$AB175='طريقة الحساب'!$B$3,S175*$AA175/الافتراضات!$B$26,$AB175='طريقة الحساب'!$B$4,S175*$AA175/الافتراضات!$B$28),"")</f>
        <v>8.4091776471120941E-2</v>
      </c>
      <c r="AY175" s="91" cm="1">
        <f t="array" ref="AY175">IFERROR(_xlfn.IFS($AB175="عدد الموظفين/الوحدة",T175*$AA175,$AB175='طريقة الحساب'!$B$2,T175*$AA175/الافتراضات!$B$27,$AB175='طريقة الحساب'!$B$3,T175*$AA175/الافتراضات!$B$26,$AB175='طريقة الحساب'!$B$4,T175*$AA175/الافتراضات!$B$28),"")</f>
        <v>8.4091776471120941E-2</v>
      </c>
      <c r="AZ175" s="91" cm="1">
        <f t="array" ref="AZ175">IFERROR(_xlfn.IFS($AB175="عدد الموظفين/الوحدة",U175*$AA175,$AB175='طريقة الحساب'!$B$2,U175*$AA175/الافتراضات!$B$27,$AB175='طريقة الحساب'!$B$3,U175*$AA175/الافتراضات!$B$26,$AB175='طريقة الحساب'!$B$4,U175*$AA175/الافتراضات!$B$28),"")</f>
        <v>8.4091776471120941E-2</v>
      </c>
      <c r="BA175" s="91" cm="1">
        <f t="array" ref="BA175">IFERROR(_xlfn.IFS($AB175="عدد الموظفين/الوحدة",V175*$AA175,$AB175='طريقة الحساب'!$B$2,V175*$AA175/الافتراضات!$B$27,$AB175='طريقة الحساب'!$B$3,V175*$AA175/الافتراضات!$B$26,$AB175='طريقة الحساب'!$B$4,V175*$AA175/الافتراضات!$B$28),"")</f>
        <v>8.4091776471120941E-2</v>
      </c>
      <c r="BB175" s="91" cm="1">
        <f t="array" ref="BB175">IFERROR(_xlfn.IFS($AB175="عدد الموظفين/الوحدة",W175*$AA175,$AB175='طريقة الحساب'!$B$2,W175*$AA175/الافتراضات!$B$27,$AB175='طريقة الحساب'!$B$3,W175*$AA175/الافتراضات!$B$26,$AB175='طريقة الحساب'!$B$4,W175*$AA175/الافتراضات!$B$28),"")</f>
        <v>8.4091776471120941E-2</v>
      </c>
      <c r="BC175" s="91" cm="1">
        <f t="array" ref="BC175">IFERROR(_xlfn.IFS($AB175="عدد الموظفين/الوحدة",X175*$AA175,$AB175='طريقة الحساب'!$B$2,X175*$AA175/الافتراضات!$B$27,$AB175='طريقة الحساب'!$B$3,X175*$AA175/الافتراضات!$B$26,$AB175='طريقة الحساب'!$B$4,X175*$AA175/الافتراضات!$B$28),"")</f>
        <v>8.4091776471120941E-2</v>
      </c>
      <c r="BD175" s="91" cm="1">
        <f t="array" ref="BD175">IFERROR(_xlfn.IFS($AB175="عدد الموظفين/الوحدة",Y175*$AA175,$AB175='طريقة الحساب'!$B$2,Y175*$AA175/الافتراضات!$B$27,$AB175='طريقة الحساب'!$B$3,Y175*$AA175/الافتراضات!$B$26,$AB175='طريقة الحساب'!$B$4,Y175*$AA175/الافتراضات!$B$28),"")</f>
        <v>8.4091776471120941E-2</v>
      </c>
      <c r="BE175" s="91" cm="1">
        <f t="array" ref="BE175">IFERROR(_xlfn.IFS($AB175="عدد الموظفين/الوحدة",Z175*$AA175,$AB175='طريقة الحساب'!$B$2,Z175*$AA175/الافتراضات!$B$27,$AB175='طريقة الحساب'!$B$3,Z175*$AA175/الافتراضات!$B$26,$AB175='طريقة الحساب'!$B$4,Z175*$AA175/الافتراضات!$B$28),"")</f>
        <v>0</v>
      </c>
      <c r="BF175" s="92"/>
    </row>
    <row r="176" spans="2:58" x14ac:dyDescent="0.35">
      <c r="B176" s="124" t="s">
        <v>87</v>
      </c>
      <c r="C176" s="131" t="s">
        <v>88</v>
      </c>
      <c r="D176" s="131" t="s">
        <v>90</v>
      </c>
      <c r="E176" s="138" t="s">
        <v>92</v>
      </c>
      <c r="F176" s="125" t="s">
        <v>228</v>
      </c>
      <c r="G176" s="126" t="s">
        <v>84</v>
      </c>
      <c r="H176" s="127"/>
      <c r="I176" s="132">
        <v>150</v>
      </c>
      <c r="J176" s="133">
        <v>150</v>
      </c>
      <c r="K176" s="133">
        <v>150</v>
      </c>
      <c r="L176" s="133">
        <v>150</v>
      </c>
      <c r="M176" s="133">
        <v>150</v>
      </c>
      <c r="N176" s="133">
        <v>150</v>
      </c>
      <c r="O176" s="133">
        <v>150</v>
      </c>
      <c r="P176" s="139">
        <v>20</v>
      </c>
      <c r="Q176" s="134" t="s">
        <v>45</v>
      </c>
      <c r="R176" s="128"/>
      <c r="S176" s="135">
        <v>150</v>
      </c>
      <c r="T176" s="135">
        <v>150</v>
      </c>
      <c r="U176" s="135">
        <v>150</v>
      </c>
      <c r="V176" s="135">
        <v>150</v>
      </c>
      <c r="W176" s="135">
        <v>150</v>
      </c>
      <c r="X176" s="135">
        <v>150</v>
      </c>
      <c r="Y176" s="135">
        <v>150</v>
      </c>
      <c r="Z176" s="79"/>
      <c r="AA176" s="135">
        <v>20</v>
      </c>
      <c r="AB176" s="136" t="s">
        <v>45</v>
      </c>
      <c r="AC176" s="80"/>
      <c r="AD176" s="81"/>
      <c r="AE176" s="82"/>
      <c r="AF176" s="82"/>
      <c r="AG176" s="82"/>
      <c r="AH176" s="82"/>
      <c r="AI176" s="82"/>
      <c r="AJ176" s="82"/>
      <c r="AK176" s="82"/>
      <c r="AL176" s="82"/>
      <c r="AM176" s="83"/>
      <c r="AN176" s="83"/>
      <c r="AO176" s="84" t="str">
        <f t="shared" si="6"/>
        <v>لا</v>
      </c>
      <c r="AP176" s="85" t="str">
        <f t="shared" si="5"/>
        <v/>
      </c>
      <c r="AQ176" s="84" t="str">
        <f t="shared" si="6"/>
        <v>لا</v>
      </c>
      <c r="AR176" s="85" t="str">
        <f t="shared" si="7"/>
        <v/>
      </c>
      <c r="AS176" s="86" t="str">
        <f t="shared" si="8"/>
        <v>لا</v>
      </c>
      <c r="AT176" s="87" t="str">
        <f t="shared" si="9"/>
        <v/>
      </c>
      <c r="AU176" s="88"/>
      <c r="AV176" s="89"/>
      <c r="AW176" s="90"/>
      <c r="AX176" s="91" cm="1">
        <f t="array" ref="AX176">IFERROR(_xlfn.IFS($AB176="عدد الموظفين/الوحدة",S176*$AA176,$AB176='طريقة الحساب'!$B$2,S176*$AA176/الافتراضات!$B$27,$AB176='طريقة الحساب'!$B$3,S176*$AA176/الافتراضات!$B$26,$AB176='طريقة الحساب'!$B$4,S176*$AA176/الافتراضات!$B$28),"")</f>
        <v>5.0455065882672567E-2</v>
      </c>
      <c r="AY176" s="91" cm="1">
        <f t="array" ref="AY176">IFERROR(_xlfn.IFS($AB176="عدد الموظفين/الوحدة",T176*$AA176,$AB176='طريقة الحساب'!$B$2,T176*$AA176/الافتراضات!$B$27,$AB176='طريقة الحساب'!$B$3,T176*$AA176/الافتراضات!$B$26,$AB176='طريقة الحساب'!$B$4,T176*$AA176/الافتراضات!$B$28),"")</f>
        <v>5.0455065882672567E-2</v>
      </c>
      <c r="AZ176" s="91" cm="1">
        <f t="array" ref="AZ176">IFERROR(_xlfn.IFS($AB176="عدد الموظفين/الوحدة",U176*$AA176,$AB176='طريقة الحساب'!$B$2,U176*$AA176/الافتراضات!$B$27,$AB176='طريقة الحساب'!$B$3,U176*$AA176/الافتراضات!$B$26,$AB176='طريقة الحساب'!$B$4,U176*$AA176/الافتراضات!$B$28),"")</f>
        <v>5.0455065882672567E-2</v>
      </c>
      <c r="BA176" s="91" cm="1">
        <f t="array" ref="BA176">IFERROR(_xlfn.IFS($AB176="عدد الموظفين/الوحدة",V176*$AA176,$AB176='طريقة الحساب'!$B$2,V176*$AA176/الافتراضات!$B$27,$AB176='طريقة الحساب'!$B$3,V176*$AA176/الافتراضات!$B$26,$AB176='طريقة الحساب'!$B$4,V176*$AA176/الافتراضات!$B$28),"")</f>
        <v>5.0455065882672567E-2</v>
      </c>
      <c r="BB176" s="91" cm="1">
        <f t="array" ref="BB176">IFERROR(_xlfn.IFS($AB176="عدد الموظفين/الوحدة",W176*$AA176,$AB176='طريقة الحساب'!$B$2,W176*$AA176/الافتراضات!$B$27,$AB176='طريقة الحساب'!$B$3,W176*$AA176/الافتراضات!$B$26,$AB176='طريقة الحساب'!$B$4,W176*$AA176/الافتراضات!$B$28),"")</f>
        <v>5.0455065882672567E-2</v>
      </c>
      <c r="BC176" s="91" cm="1">
        <f t="array" ref="BC176">IFERROR(_xlfn.IFS($AB176="عدد الموظفين/الوحدة",X176*$AA176,$AB176='طريقة الحساب'!$B$2,X176*$AA176/الافتراضات!$B$27,$AB176='طريقة الحساب'!$B$3,X176*$AA176/الافتراضات!$B$26,$AB176='طريقة الحساب'!$B$4,X176*$AA176/الافتراضات!$B$28),"")</f>
        <v>5.0455065882672567E-2</v>
      </c>
      <c r="BD176" s="91" cm="1">
        <f t="array" ref="BD176">IFERROR(_xlfn.IFS($AB176="عدد الموظفين/الوحدة",Y176*$AA176,$AB176='طريقة الحساب'!$B$2,Y176*$AA176/الافتراضات!$B$27,$AB176='طريقة الحساب'!$B$3,Y176*$AA176/الافتراضات!$B$26,$AB176='طريقة الحساب'!$B$4,Y176*$AA176/الافتراضات!$B$28),"")</f>
        <v>5.0455065882672567E-2</v>
      </c>
      <c r="BE176" s="91" cm="1">
        <f t="array" ref="BE176">IFERROR(_xlfn.IFS($AB176="عدد الموظفين/الوحدة",Z176*$AA176,$AB176='طريقة الحساب'!$B$2,Z176*$AA176/الافتراضات!$B$27,$AB176='طريقة الحساب'!$B$3,Z176*$AA176/الافتراضات!$B$26,$AB176='طريقة الحساب'!$B$4,Z176*$AA176/الافتراضات!$B$28),"")</f>
        <v>0</v>
      </c>
      <c r="BF176" s="92"/>
    </row>
    <row r="177" spans="2:58" x14ac:dyDescent="0.35">
      <c r="B177" s="124" t="s">
        <v>87</v>
      </c>
      <c r="C177" s="131" t="s">
        <v>88</v>
      </c>
      <c r="D177" s="131" t="s">
        <v>90</v>
      </c>
      <c r="E177" s="138" t="s">
        <v>92</v>
      </c>
      <c r="F177" s="125" t="s">
        <v>229</v>
      </c>
      <c r="G177" s="126" t="s">
        <v>84</v>
      </c>
      <c r="H177" s="127"/>
      <c r="I177" s="132">
        <v>300</v>
      </c>
      <c r="J177" s="133">
        <v>300</v>
      </c>
      <c r="K177" s="133">
        <v>300</v>
      </c>
      <c r="L177" s="133">
        <v>300</v>
      </c>
      <c r="M177" s="133">
        <v>300</v>
      </c>
      <c r="N177" s="133">
        <v>300</v>
      </c>
      <c r="O177" s="133">
        <v>300</v>
      </c>
      <c r="P177" s="139">
        <v>20</v>
      </c>
      <c r="Q177" s="134" t="s">
        <v>45</v>
      </c>
      <c r="R177" s="128"/>
      <c r="S177" s="135">
        <v>300</v>
      </c>
      <c r="T177" s="135">
        <v>300</v>
      </c>
      <c r="U177" s="135">
        <v>300</v>
      </c>
      <c r="V177" s="135">
        <v>300</v>
      </c>
      <c r="W177" s="135">
        <v>300</v>
      </c>
      <c r="X177" s="135">
        <v>300</v>
      </c>
      <c r="Y177" s="135">
        <v>300</v>
      </c>
      <c r="Z177" s="79"/>
      <c r="AA177" s="135">
        <v>20</v>
      </c>
      <c r="AB177" s="136" t="s">
        <v>45</v>
      </c>
      <c r="AC177" s="80"/>
      <c r="AD177" s="81"/>
      <c r="AE177" s="82"/>
      <c r="AF177" s="82"/>
      <c r="AG177" s="82"/>
      <c r="AH177" s="82"/>
      <c r="AI177" s="82"/>
      <c r="AJ177" s="82"/>
      <c r="AK177" s="82"/>
      <c r="AL177" s="82"/>
      <c r="AM177" s="83"/>
      <c r="AN177" s="83"/>
      <c r="AO177" s="84" t="str">
        <f t="shared" si="6"/>
        <v>لا</v>
      </c>
      <c r="AP177" s="85" t="str">
        <f t="shared" si="5"/>
        <v/>
      </c>
      <c r="AQ177" s="84" t="str">
        <f t="shared" si="6"/>
        <v>لا</v>
      </c>
      <c r="AR177" s="85" t="str">
        <f t="shared" si="7"/>
        <v/>
      </c>
      <c r="AS177" s="86" t="str">
        <f t="shared" si="8"/>
        <v>لا</v>
      </c>
      <c r="AT177" s="87" t="str">
        <f t="shared" si="9"/>
        <v/>
      </c>
      <c r="AU177" s="88"/>
      <c r="AV177" s="89"/>
      <c r="AW177" s="90"/>
      <c r="AX177" s="91" cm="1">
        <f t="array" ref="AX177">IFERROR(_xlfn.IFS($AB177="عدد الموظفين/الوحدة",S177*$AA177,$AB177='طريقة الحساب'!$B$2,S177*$AA177/الافتراضات!$B$27,$AB177='طريقة الحساب'!$B$3,S177*$AA177/الافتراضات!$B$26,$AB177='طريقة الحساب'!$B$4,S177*$AA177/الافتراضات!$B$28),"")</f>
        <v>0.10091013176534513</v>
      </c>
      <c r="AY177" s="91" cm="1">
        <f t="array" ref="AY177">IFERROR(_xlfn.IFS($AB177="عدد الموظفين/الوحدة",T177*$AA177,$AB177='طريقة الحساب'!$B$2,T177*$AA177/الافتراضات!$B$27,$AB177='طريقة الحساب'!$B$3,T177*$AA177/الافتراضات!$B$26,$AB177='طريقة الحساب'!$B$4,T177*$AA177/الافتراضات!$B$28),"")</f>
        <v>0.10091013176534513</v>
      </c>
      <c r="AZ177" s="91" cm="1">
        <f t="array" ref="AZ177">IFERROR(_xlfn.IFS($AB177="عدد الموظفين/الوحدة",U177*$AA177,$AB177='طريقة الحساب'!$B$2,U177*$AA177/الافتراضات!$B$27,$AB177='طريقة الحساب'!$B$3,U177*$AA177/الافتراضات!$B$26,$AB177='طريقة الحساب'!$B$4,U177*$AA177/الافتراضات!$B$28),"")</f>
        <v>0.10091013176534513</v>
      </c>
      <c r="BA177" s="91" cm="1">
        <f t="array" ref="BA177">IFERROR(_xlfn.IFS($AB177="عدد الموظفين/الوحدة",V177*$AA177,$AB177='طريقة الحساب'!$B$2,V177*$AA177/الافتراضات!$B$27,$AB177='طريقة الحساب'!$B$3,V177*$AA177/الافتراضات!$B$26,$AB177='طريقة الحساب'!$B$4,V177*$AA177/الافتراضات!$B$28),"")</f>
        <v>0.10091013176534513</v>
      </c>
      <c r="BB177" s="91" cm="1">
        <f t="array" ref="BB177">IFERROR(_xlfn.IFS($AB177="عدد الموظفين/الوحدة",W177*$AA177,$AB177='طريقة الحساب'!$B$2,W177*$AA177/الافتراضات!$B$27,$AB177='طريقة الحساب'!$B$3,W177*$AA177/الافتراضات!$B$26,$AB177='طريقة الحساب'!$B$4,W177*$AA177/الافتراضات!$B$28),"")</f>
        <v>0.10091013176534513</v>
      </c>
      <c r="BC177" s="91" cm="1">
        <f t="array" ref="BC177">IFERROR(_xlfn.IFS($AB177="عدد الموظفين/الوحدة",X177*$AA177,$AB177='طريقة الحساب'!$B$2,X177*$AA177/الافتراضات!$B$27,$AB177='طريقة الحساب'!$B$3,X177*$AA177/الافتراضات!$B$26,$AB177='طريقة الحساب'!$B$4,X177*$AA177/الافتراضات!$B$28),"")</f>
        <v>0.10091013176534513</v>
      </c>
      <c r="BD177" s="91" cm="1">
        <f t="array" ref="BD177">IFERROR(_xlfn.IFS($AB177="عدد الموظفين/الوحدة",Y177*$AA177,$AB177='طريقة الحساب'!$B$2,Y177*$AA177/الافتراضات!$B$27,$AB177='طريقة الحساب'!$B$3,Y177*$AA177/الافتراضات!$B$26,$AB177='طريقة الحساب'!$B$4,Y177*$AA177/الافتراضات!$B$28),"")</f>
        <v>0.10091013176534513</v>
      </c>
      <c r="BE177" s="91" cm="1">
        <f t="array" ref="BE177">IFERROR(_xlfn.IFS($AB177="عدد الموظفين/الوحدة",Z177*$AA177,$AB177='طريقة الحساب'!$B$2,Z177*$AA177/الافتراضات!$B$27,$AB177='طريقة الحساب'!$B$3,Z177*$AA177/الافتراضات!$B$26,$AB177='طريقة الحساب'!$B$4,Z177*$AA177/الافتراضات!$B$28),"")</f>
        <v>0</v>
      </c>
      <c r="BF177" s="92"/>
    </row>
    <row r="178" spans="2:58" x14ac:dyDescent="0.35">
      <c r="B178" s="124" t="s">
        <v>87</v>
      </c>
      <c r="C178" s="131" t="s">
        <v>88</v>
      </c>
      <c r="D178" s="131" t="s">
        <v>90</v>
      </c>
      <c r="E178" s="138" t="s">
        <v>92</v>
      </c>
      <c r="F178" s="125" t="s">
        <v>230</v>
      </c>
      <c r="G178" s="126" t="s">
        <v>84</v>
      </c>
      <c r="H178" s="127"/>
      <c r="I178" s="132">
        <v>192</v>
      </c>
      <c r="J178" s="133">
        <v>192</v>
      </c>
      <c r="K178" s="133">
        <v>192</v>
      </c>
      <c r="L178" s="133">
        <v>192</v>
      </c>
      <c r="M178" s="133">
        <v>192</v>
      </c>
      <c r="N178" s="133">
        <v>192</v>
      </c>
      <c r="O178" s="133">
        <v>192</v>
      </c>
      <c r="P178" s="139">
        <v>3</v>
      </c>
      <c r="Q178" s="134" t="s">
        <v>32</v>
      </c>
      <c r="R178" s="128"/>
      <c r="S178" s="135">
        <v>192</v>
      </c>
      <c r="T178" s="135">
        <v>192</v>
      </c>
      <c r="U178" s="135">
        <v>192</v>
      </c>
      <c r="V178" s="135">
        <v>192</v>
      </c>
      <c r="W178" s="135">
        <v>192</v>
      </c>
      <c r="X178" s="135">
        <v>192</v>
      </c>
      <c r="Y178" s="135">
        <v>192</v>
      </c>
      <c r="Z178" s="79"/>
      <c r="AA178" s="135">
        <v>3</v>
      </c>
      <c r="AB178" s="136" t="s">
        <v>32</v>
      </c>
      <c r="AC178" s="80"/>
      <c r="AD178" s="81"/>
      <c r="AE178" s="82"/>
      <c r="AF178" s="82"/>
      <c r="AG178" s="82"/>
      <c r="AH178" s="82"/>
      <c r="AI178" s="82"/>
      <c r="AJ178" s="82"/>
      <c r="AK178" s="82"/>
      <c r="AL178" s="82"/>
      <c r="AM178" s="83"/>
      <c r="AN178" s="83"/>
      <c r="AO178" s="84" t="str">
        <f t="shared" si="6"/>
        <v>لا</v>
      </c>
      <c r="AP178" s="85" t="str">
        <f t="shared" si="5"/>
        <v/>
      </c>
      <c r="AQ178" s="84" t="str">
        <f t="shared" si="6"/>
        <v>لا</v>
      </c>
      <c r="AR178" s="85" t="str">
        <f t="shared" si="7"/>
        <v/>
      </c>
      <c r="AS178" s="86" t="str">
        <f t="shared" si="8"/>
        <v>لا</v>
      </c>
      <c r="AT178" s="87" t="str">
        <f t="shared" si="9"/>
        <v/>
      </c>
      <c r="AU178" s="88"/>
      <c r="AV178" s="89"/>
      <c r="AW178" s="90"/>
      <c r="AX178" s="91" cm="1">
        <f t="array" ref="AX178">IFERROR(_xlfn.IFS($AB178="عدد الموظفين/الوحدة",S178*$AA178,$AB178='طريقة الحساب'!$B$2,S178*$AA178/الافتراضات!$B$27,$AB178='طريقة الحساب'!$B$3,S178*$AA178/الافتراضات!$B$26,$AB178='طريقة الحساب'!$B$4,S178*$AA178/الافتراضات!$B$28),"")</f>
        <v>0.58124235896838794</v>
      </c>
      <c r="AY178" s="91" cm="1">
        <f t="array" ref="AY178">IFERROR(_xlfn.IFS($AB178="عدد الموظفين/الوحدة",T178*$AA178,$AB178='طريقة الحساب'!$B$2,T178*$AA178/الافتراضات!$B$27,$AB178='طريقة الحساب'!$B$3,T178*$AA178/الافتراضات!$B$26,$AB178='طريقة الحساب'!$B$4,T178*$AA178/الافتراضات!$B$28),"")</f>
        <v>0.58124235896838794</v>
      </c>
      <c r="AZ178" s="91" cm="1">
        <f t="array" ref="AZ178">IFERROR(_xlfn.IFS($AB178="عدد الموظفين/الوحدة",U178*$AA178,$AB178='طريقة الحساب'!$B$2,U178*$AA178/الافتراضات!$B$27,$AB178='طريقة الحساب'!$B$3,U178*$AA178/الافتراضات!$B$26,$AB178='طريقة الحساب'!$B$4,U178*$AA178/الافتراضات!$B$28),"")</f>
        <v>0.58124235896838794</v>
      </c>
      <c r="BA178" s="91" cm="1">
        <f t="array" ref="BA178">IFERROR(_xlfn.IFS($AB178="عدد الموظفين/الوحدة",V178*$AA178,$AB178='طريقة الحساب'!$B$2,V178*$AA178/الافتراضات!$B$27,$AB178='طريقة الحساب'!$B$3,V178*$AA178/الافتراضات!$B$26,$AB178='طريقة الحساب'!$B$4,V178*$AA178/الافتراضات!$B$28),"")</f>
        <v>0.58124235896838794</v>
      </c>
      <c r="BB178" s="91" cm="1">
        <f t="array" ref="BB178">IFERROR(_xlfn.IFS($AB178="عدد الموظفين/الوحدة",W178*$AA178,$AB178='طريقة الحساب'!$B$2,W178*$AA178/الافتراضات!$B$27,$AB178='طريقة الحساب'!$B$3,W178*$AA178/الافتراضات!$B$26,$AB178='طريقة الحساب'!$B$4,W178*$AA178/الافتراضات!$B$28),"")</f>
        <v>0.58124235896838794</v>
      </c>
      <c r="BC178" s="91" cm="1">
        <f t="array" ref="BC178">IFERROR(_xlfn.IFS($AB178="عدد الموظفين/الوحدة",X178*$AA178,$AB178='طريقة الحساب'!$B$2,X178*$AA178/الافتراضات!$B$27,$AB178='طريقة الحساب'!$B$3,X178*$AA178/الافتراضات!$B$26,$AB178='طريقة الحساب'!$B$4,X178*$AA178/الافتراضات!$B$28),"")</f>
        <v>0.58124235896838794</v>
      </c>
      <c r="BD178" s="91" cm="1">
        <f t="array" ref="BD178">IFERROR(_xlfn.IFS($AB178="عدد الموظفين/الوحدة",Y178*$AA178,$AB178='طريقة الحساب'!$B$2,Y178*$AA178/الافتراضات!$B$27,$AB178='طريقة الحساب'!$B$3,Y178*$AA178/الافتراضات!$B$26,$AB178='طريقة الحساب'!$B$4,Y178*$AA178/الافتراضات!$B$28),"")</f>
        <v>0.58124235896838794</v>
      </c>
      <c r="BE178" s="91" cm="1">
        <f t="array" ref="BE178">IFERROR(_xlfn.IFS($AB178="عدد الموظفين/الوحدة",Z178*$AA178,$AB178='طريقة الحساب'!$B$2,Z178*$AA178/الافتراضات!$B$27,$AB178='طريقة الحساب'!$B$3,Z178*$AA178/الافتراضات!$B$26,$AB178='طريقة الحساب'!$B$4,Z178*$AA178/الافتراضات!$B$28),"")</f>
        <v>0</v>
      </c>
      <c r="BF178" s="92"/>
    </row>
    <row r="179" spans="2:58" x14ac:dyDescent="0.35">
      <c r="B179" s="124" t="s">
        <v>87</v>
      </c>
      <c r="C179" s="131" t="s">
        <v>88</v>
      </c>
      <c r="D179" s="131" t="s">
        <v>90</v>
      </c>
      <c r="E179" s="138" t="s">
        <v>92</v>
      </c>
      <c r="F179" s="125" t="s">
        <v>231</v>
      </c>
      <c r="G179" s="126" t="s">
        <v>84</v>
      </c>
      <c r="H179" s="127"/>
      <c r="I179" s="132">
        <v>720</v>
      </c>
      <c r="J179" s="133">
        <v>720</v>
      </c>
      <c r="K179" s="133">
        <v>720</v>
      </c>
      <c r="L179" s="133">
        <v>720</v>
      </c>
      <c r="M179" s="133">
        <v>720</v>
      </c>
      <c r="N179" s="133">
        <v>720</v>
      </c>
      <c r="O179" s="133">
        <v>720</v>
      </c>
      <c r="P179" s="139">
        <v>1</v>
      </c>
      <c r="Q179" s="134" t="s">
        <v>32</v>
      </c>
      <c r="R179" s="128"/>
      <c r="S179" s="135">
        <v>720</v>
      </c>
      <c r="T179" s="135">
        <v>720</v>
      </c>
      <c r="U179" s="135">
        <v>720</v>
      </c>
      <c r="V179" s="135">
        <v>720</v>
      </c>
      <c r="W179" s="135">
        <v>720</v>
      </c>
      <c r="X179" s="135">
        <v>720</v>
      </c>
      <c r="Y179" s="135">
        <v>720</v>
      </c>
      <c r="Z179" s="79"/>
      <c r="AA179" s="135">
        <v>1</v>
      </c>
      <c r="AB179" s="136" t="s">
        <v>32</v>
      </c>
      <c r="AC179" s="80"/>
      <c r="AD179" s="81"/>
      <c r="AE179" s="82"/>
      <c r="AF179" s="82"/>
      <c r="AG179" s="82"/>
      <c r="AH179" s="82"/>
      <c r="AI179" s="82"/>
      <c r="AJ179" s="82"/>
      <c r="AK179" s="82"/>
      <c r="AL179" s="82"/>
      <c r="AM179" s="83"/>
      <c r="AN179" s="83"/>
      <c r="AO179" s="84" t="str">
        <f t="shared" si="6"/>
        <v>لا</v>
      </c>
      <c r="AP179" s="85" t="str">
        <f t="shared" si="5"/>
        <v/>
      </c>
      <c r="AQ179" s="84" t="str">
        <f t="shared" si="6"/>
        <v>لا</v>
      </c>
      <c r="AR179" s="85" t="str">
        <f t="shared" si="7"/>
        <v/>
      </c>
      <c r="AS179" s="86" t="str">
        <f t="shared" si="8"/>
        <v>لا</v>
      </c>
      <c r="AT179" s="87" t="str">
        <f t="shared" si="9"/>
        <v/>
      </c>
      <c r="AU179" s="88"/>
      <c r="AV179" s="89"/>
      <c r="AW179" s="90"/>
      <c r="AX179" s="91" cm="1">
        <f t="array" ref="AX179">IFERROR(_xlfn.IFS($AB179="عدد الموظفين/الوحدة",S179*$AA179,$AB179='طريقة الحساب'!$B$2,S179*$AA179/الافتراضات!$B$27,$AB179='طريقة الحساب'!$B$3,S179*$AA179/الافتراضات!$B$26,$AB179='طريقة الحساب'!$B$4,S179*$AA179/الافتراضات!$B$28),"")</f>
        <v>0.72655294871048492</v>
      </c>
      <c r="AY179" s="91" cm="1">
        <f t="array" ref="AY179">IFERROR(_xlfn.IFS($AB179="عدد الموظفين/الوحدة",T179*$AA179,$AB179='طريقة الحساب'!$B$2,T179*$AA179/الافتراضات!$B$27,$AB179='طريقة الحساب'!$B$3,T179*$AA179/الافتراضات!$B$26,$AB179='طريقة الحساب'!$B$4,T179*$AA179/الافتراضات!$B$28),"")</f>
        <v>0.72655294871048492</v>
      </c>
      <c r="AZ179" s="91" cm="1">
        <f t="array" ref="AZ179">IFERROR(_xlfn.IFS($AB179="عدد الموظفين/الوحدة",U179*$AA179,$AB179='طريقة الحساب'!$B$2,U179*$AA179/الافتراضات!$B$27,$AB179='طريقة الحساب'!$B$3,U179*$AA179/الافتراضات!$B$26,$AB179='طريقة الحساب'!$B$4,U179*$AA179/الافتراضات!$B$28),"")</f>
        <v>0.72655294871048492</v>
      </c>
      <c r="BA179" s="91" cm="1">
        <f t="array" ref="BA179">IFERROR(_xlfn.IFS($AB179="عدد الموظفين/الوحدة",V179*$AA179,$AB179='طريقة الحساب'!$B$2,V179*$AA179/الافتراضات!$B$27,$AB179='طريقة الحساب'!$B$3,V179*$AA179/الافتراضات!$B$26,$AB179='طريقة الحساب'!$B$4,V179*$AA179/الافتراضات!$B$28),"")</f>
        <v>0.72655294871048492</v>
      </c>
      <c r="BB179" s="91" cm="1">
        <f t="array" ref="BB179">IFERROR(_xlfn.IFS($AB179="عدد الموظفين/الوحدة",W179*$AA179,$AB179='طريقة الحساب'!$B$2,W179*$AA179/الافتراضات!$B$27,$AB179='طريقة الحساب'!$B$3,W179*$AA179/الافتراضات!$B$26,$AB179='طريقة الحساب'!$B$4,W179*$AA179/الافتراضات!$B$28),"")</f>
        <v>0.72655294871048492</v>
      </c>
      <c r="BC179" s="91" cm="1">
        <f t="array" ref="BC179">IFERROR(_xlfn.IFS($AB179="عدد الموظفين/الوحدة",X179*$AA179,$AB179='طريقة الحساب'!$B$2,X179*$AA179/الافتراضات!$B$27,$AB179='طريقة الحساب'!$B$3,X179*$AA179/الافتراضات!$B$26,$AB179='طريقة الحساب'!$B$4,X179*$AA179/الافتراضات!$B$28),"")</f>
        <v>0.72655294871048492</v>
      </c>
      <c r="BD179" s="91" cm="1">
        <f t="array" ref="BD179">IFERROR(_xlfn.IFS($AB179="عدد الموظفين/الوحدة",Y179*$AA179,$AB179='طريقة الحساب'!$B$2,Y179*$AA179/الافتراضات!$B$27,$AB179='طريقة الحساب'!$B$3,Y179*$AA179/الافتراضات!$B$26,$AB179='طريقة الحساب'!$B$4,Y179*$AA179/الافتراضات!$B$28),"")</f>
        <v>0.72655294871048492</v>
      </c>
      <c r="BE179" s="91" cm="1">
        <f t="array" ref="BE179">IFERROR(_xlfn.IFS($AB179="عدد الموظفين/الوحدة",Z179*$AA179,$AB179='طريقة الحساب'!$B$2,Z179*$AA179/الافتراضات!$B$27,$AB179='طريقة الحساب'!$B$3,Z179*$AA179/الافتراضات!$B$26,$AB179='طريقة الحساب'!$B$4,Z179*$AA179/الافتراضات!$B$28),"")</f>
        <v>0</v>
      </c>
      <c r="BF179" s="92"/>
    </row>
    <row r="180" spans="2:58" x14ac:dyDescent="0.35">
      <c r="B180" s="124" t="s">
        <v>87</v>
      </c>
      <c r="C180" s="131" t="s">
        <v>88</v>
      </c>
      <c r="D180" s="131" t="s">
        <v>90</v>
      </c>
      <c r="E180" s="138" t="s">
        <v>92</v>
      </c>
      <c r="F180" s="125" t="s">
        <v>232</v>
      </c>
      <c r="G180" s="126" t="s">
        <v>84</v>
      </c>
      <c r="H180" s="127"/>
      <c r="I180" s="132">
        <v>1</v>
      </c>
      <c r="J180" s="133">
        <v>1</v>
      </c>
      <c r="K180" s="133">
        <v>1</v>
      </c>
      <c r="L180" s="133">
        <v>1</v>
      </c>
      <c r="M180" s="133">
        <v>1</v>
      </c>
      <c r="N180" s="133">
        <v>1</v>
      </c>
      <c r="O180" s="133">
        <v>1</v>
      </c>
      <c r="P180" s="139">
        <v>60</v>
      </c>
      <c r="Q180" s="134" t="s">
        <v>46</v>
      </c>
      <c r="R180" s="128"/>
      <c r="S180" s="135">
        <v>1</v>
      </c>
      <c r="T180" s="135">
        <v>1</v>
      </c>
      <c r="U180" s="135">
        <v>1</v>
      </c>
      <c r="V180" s="135">
        <v>1</v>
      </c>
      <c r="W180" s="135">
        <v>1</v>
      </c>
      <c r="X180" s="135">
        <v>1</v>
      </c>
      <c r="Y180" s="135">
        <v>1</v>
      </c>
      <c r="Z180" s="79"/>
      <c r="AA180" s="135">
        <v>60</v>
      </c>
      <c r="AB180" s="136" t="s">
        <v>46</v>
      </c>
      <c r="AC180" s="80"/>
      <c r="AD180" s="81"/>
      <c r="AE180" s="82"/>
      <c r="AF180" s="82"/>
      <c r="AG180" s="82"/>
      <c r="AH180" s="82"/>
      <c r="AI180" s="82"/>
      <c r="AJ180" s="82"/>
      <c r="AK180" s="82"/>
      <c r="AL180" s="82"/>
      <c r="AM180" s="83"/>
      <c r="AN180" s="83"/>
      <c r="AO180" s="84" t="str">
        <f t="shared" si="6"/>
        <v>لا</v>
      </c>
      <c r="AP180" s="85" t="str">
        <f t="shared" si="5"/>
        <v/>
      </c>
      <c r="AQ180" s="84" t="str">
        <f t="shared" si="6"/>
        <v>لا</v>
      </c>
      <c r="AR180" s="85" t="str">
        <f t="shared" si="7"/>
        <v/>
      </c>
      <c r="AS180" s="86" t="str">
        <f t="shared" si="8"/>
        <v>لا</v>
      </c>
      <c r="AT180" s="87" t="str">
        <f t="shared" si="9"/>
        <v/>
      </c>
      <c r="AU180" s="88"/>
      <c r="AV180" s="89"/>
      <c r="AW180" s="90"/>
      <c r="AX180" s="91" cm="1">
        <f t="array" ref="AX180">IFERROR(_xlfn.IFS($AB180="عدد الموظفين/الوحدة",S180*$AA180,$AB180='طريقة الحساب'!$B$2,S180*$AA180/الافتراضات!$B$27,$AB180='طريقة الحساب'!$B$3,S180*$AA180/الافتراضات!$B$26,$AB180='طريقة الحساب'!$B$4,S180*$AA180/الافتراضات!$B$28),"")</f>
        <v>0.31088082901554404</v>
      </c>
      <c r="AY180" s="91" cm="1">
        <f t="array" ref="AY180">IFERROR(_xlfn.IFS($AB180="عدد الموظفين/الوحدة",T180*$AA180,$AB180='طريقة الحساب'!$B$2,T180*$AA180/الافتراضات!$B$27,$AB180='طريقة الحساب'!$B$3,T180*$AA180/الافتراضات!$B$26,$AB180='طريقة الحساب'!$B$4,T180*$AA180/الافتراضات!$B$28),"")</f>
        <v>0.31088082901554404</v>
      </c>
      <c r="AZ180" s="91" cm="1">
        <f t="array" ref="AZ180">IFERROR(_xlfn.IFS($AB180="عدد الموظفين/الوحدة",U180*$AA180,$AB180='طريقة الحساب'!$B$2,U180*$AA180/الافتراضات!$B$27,$AB180='طريقة الحساب'!$B$3,U180*$AA180/الافتراضات!$B$26,$AB180='طريقة الحساب'!$B$4,U180*$AA180/الافتراضات!$B$28),"")</f>
        <v>0.31088082901554404</v>
      </c>
      <c r="BA180" s="91" cm="1">
        <f t="array" ref="BA180">IFERROR(_xlfn.IFS($AB180="عدد الموظفين/الوحدة",V180*$AA180,$AB180='طريقة الحساب'!$B$2,V180*$AA180/الافتراضات!$B$27,$AB180='طريقة الحساب'!$B$3,V180*$AA180/الافتراضات!$B$26,$AB180='طريقة الحساب'!$B$4,V180*$AA180/الافتراضات!$B$28),"")</f>
        <v>0.31088082901554404</v>
      </c>
      <c r="BB180" s="91" cm="1">
        <f t="array" ref="BB180">IFERROR(_xlfn.IFS($AB180="عدد الموظفين/الوحدة",W180*$AA180,$AB180='طريقة الحساب'!$B$2,W180*$AA180/الافتراضات!$B$27,$AB180='طريقة الحساب'!$B$3,W180*$AA180/الافتراضات!$B$26,$AB180='طريقة الحساب'!$B$4,W180*$AA180/الافتراضات!$B$28),"")</f>
        <v>0.31088082901554404</v>
      </c>
      <c r="BC180" s="91" cm="1">
        <f t="array" ref="BC180">IFERROR(_xlfn.IFS($AB180="عدد الموظفين/الوحدة",X180*$AA180,$AB180='طريقة الحساب'!$B$2,X180*$AA180/الافتراضات!$B$27,$AB180='طريقة الحساب'!$B$3,X180*$AA180/الافتراضات!$B$26,$AB180='طريقة الحساب'!$B$4,X180*$AA180/الافتراضات!$B$28),"")</f>
        <v>0.31088082901554404</v>
      </c>
      <c r="BD180" s="91" cm="1">
        <f t="array" ref="BD180">IFERROR(_xlfn.IFS($AB180="عدد الموظفين/الوحدة",Y180*$AA180,$AB180='طريقة الحساب'!$B$2,Y180*$AA180/الافتراضات!$B$27,$AB180='طريقة الحساب'!$B$3,Y180*$AA180/الافتراضات!$B$26,$AB180='طريقة الحساب'!$B$4,Y180*$AA180/الافتراضات!$B$28),"")</f>
        <v>0.31088082901554404</v>
      </c>
      <c r="BE180" s="91" cm="1">
        <f t="array" ref="BE180">IFERROR(_xlfn.IFS($AB180="عدد الموظفين/الوحدة",Z180*$AA180,$AB180='طريقة الحساب'!$B$2,Z180*$AA180/الافتراضات!$B$27,$AB180='طريقة الحساب'!$B$3,Z180*$AA180/الافتراضات!$B$26,$AB180='طريقة الحساب'!$B$4,Z180*$AA180/الافتراضات!$B$28),"")</f>
        <v>0</v>
      </c>
      <c r="BF180" s="92"/>
    </row>
    <row r="181" spans="2:58" x14ac:dyDescent="0.35">
      <c r="B181" s="124" t="s">
        <v>87</v>
      </c>
      <c r="C181" s="131" t="s">
        <v>88</v>
      </c>
      <c r="D181" s="131" t="s">
        <v>90</v>
      </c>
      <c r="E181" s="138" t="s">
        <v>92</v>
      </c>
      <c r="F181" s="125" t="s">
        <v>233</v>
      </c>
      <c r="G181" s="126" t="s">
        <v>84</v>
      </c>
      <c r="H181" s="127"/>
      <c r="I181" s="132">
        <v>2400</v>
      </c>
      <c r="J181" s="133">
        <v>2500</v>
      </c>
      <c r="K181" s="133">
        <v>2600</v>
      </c>
      <c r="L181" s="133">
        <v>2700</v>
      </c>
      <c r="M181" s="133">
        <v>2800</v>
      </c>
      <c r="N181" s="133">
        <v>2800</v>
      </c>
      <c r="O181" s="133">
        <v>2800</v>
      </c>
      <c r="P181" s="139">
        <v>10</v>
      </c>
      <c r="Q181" s="134" t="s">
        <v>45</v>
      </c>
      <c r="R181" s="128"/>
      <c r="S181" s="135">
        <v>2400</v>
      </c>
      <c r="T181" s="135">
        <v>2500</v>
      </c>
      <c r="U181" s="135">
        <v>2600</v>
      </c>
      <c r="V181" s="135">
        <v>2700</v>
      </c>
      <c r="W181" s="135">
        <v>2800</v>
      </c>
      <c r="X181" s="135">
        <v>2800</v>
      </c>
      <c r="Y181" s="135">
        <v>2800</v>
      </c>
      <c r="Z181" s="79"/>
      <c r="AA181" s="135">
        <v>10</v>
      </c>
      <c r="AB181" s="136" t="s">
        <v>45</v>
      </c>
      <c r="AC181" s="80"/>
      <c r="AD181" s="81"/>
      <c r="AE181" s="82"/>
      <c r="AF181" s="82"/>
      <c r="AG181" s="82"/>
      <c r="AH181" s="82"/>
      <c r="AI181" s="82"/>
      <c r="AJ181" s="82"/>
      <c r="AK181" s="82"/>
      <c r="AL181" s="82"/>
      <c r="AM181" s="83"/>
      <c r="AN181" s="83"/>
      <c r="AO181" s="84" t="str">
        <f t="shared" si="6"/>
        <v>لا</v>
      </c>
      <c r="AP181" s="85" t="str">
        <f t="shared" si="5"/>
        <v/>
      </c>
      <c r="AQ181" s="84" t="str">
        <f t="shared" si="6"/>
        <v>لا</v>
      </c>
      <c r="AR181" s="85" t="str">
        <f t="shared" si="7"/>
        <v/>
      </c>
      <c r="AS181" s="86" t="str">
        <f t="shared" si="8"/>
        <v>لا</v>
      </c>
      <c r="AT181" s="87" t="str">
        <f t="shared" si="9"/>
        <v/>
      </c>
      <c r="AU181" s="88"/>
      <c r="AV181" s="89"/>
      <c r="AW181" s="90"/>
      <c r="AX181" s="91" cm="1">
        <f t="array" ref="AX181">IFERROR(_xlfn.IFS($AB181="عدد الموظفين/الوحدة",S181*$AA181,$AB181='طريقة الحساب'!$B$2,S181*$AA181/الافتراضات!$B$27,$AB181='طريقة الحساب'!$B$3,S181*$AA181/الافتراضات!$B$26,$AB181='طريقة الحساب'!$B$4,S181*$AA181/الافتراضات!$B$28),"")</f>
        <v>0.40364052706138054</v>
      </c>
      <c r="AY181" s="91" cm="1">
        <f t="array" ref="AY181">IFERROR(_xlfn.IFS($AB181="عدد الموظفين/الوحدة",T181*$AA181,$AB181='طريقة الحساب'!$B$2,T181*$AA181/الافتراضات!$B$27,$AB181='طريقة الحساب'!$B$3,T181*$AA181/الافتراضات!$B$26,$AB181='طريقة الحساب'!$B$4,T181*$AA181/الافتراضات!$B$28),"")</f>
        <v>0.42045888235560469</v>
      </c>
      <c r="AZ181" s="91" cm="1">
        <f t="array" ref="AZ181">IFERROR(_xlfn.IFS($AB181="عدد الموظفين/الوحدة",U181*$AA181,$AB181='طريقة الحساب'!$B$2,U181*$AA181/الافتراضات!$B$27,$AB181='طريقة الحساب'!$B$3,U181*$AA181/الافتراضات!$B$26,$AB181='طريقة الحساب'!$B$4,U181*$AA181/الافتراضات!$B$28),"")</f>
        <v>0.4372772376498289</v>
      </c>
      <c r="BA181" s="91" cm="1">
        <f t="array" ref="BA181">IFERROR(_xlfn.IFS($AB181="عدد الموظفين/الوحدة",V181*$AA181,$AB181='طريقة الحساب'!$B$2,V181*$AA181/الافتراضات!$B$27,$AB181='طريقة الحساب'!$B$3,V181*$AA181/الافتراضات!$B$26,$AB181='طريقة الحساب'!$B$4,V181*$AA181/الافتراضات!$B$28),"")</f>
        <v>0.45409559294405305</v>
      </c>
      <c r="BB181" s="91" cm="1">
        <f t="array" ref="BB181">IFERROR(_xlfn.IFS($AB181="عدد الموظفين/الوحدة",W181*$AA181,$AB181='طريقة الحساب'!$B$2,W181*$AA181/الافتراضات!$B$27,$AB181='طريقة الحساب'!$B$3,W181*$AA181/الافتراضات!$B$26,$AB181='طريقة الحساب'!$B$4,W181*$AA181/الافتراضات!$B$28),"")</f>
        <v>0.47091394823827726</v>
      </c>
      <c r="BC181" s="91" cm="1">
        <f t="array" ref="BC181">IFERROR(_xlfn.IFS($AB181="عدد الموظفين/الوحدة",X181*$AA181,$AB181='طريقة الحساب'!$B$2,X181*$AA181/الافتراضات!$B$27,$AB181='طريقة الحساب'!$B$3,X181*$AA181/الافتراضات!$B$26,$AB181='طريقة الحساب'!$B$4,X181*$AA181/الافتراضات!$B$28),"")</f>
        <v>0.47091394823827726</v>
      </c>
      <c r="BD181" s="91" cm="1">
        <f t="array" ref="BD181">IFERROR(_xlfn.IFS($AB181="عدد الموظفين/الوحدة",Y181*$AA181,$AB181='طريقة الحساب'!$B$2,Y181*$AA181/الافتراضات!$B$27,$AB181='طريقة الحساب'!$B$3,Y181*$AA181/الافتراضات!$B$26,$AB181='طريقة الحساب'!$B$4,Y181*$AA181/الافتراضات!$B$28),"")</f>
        <v>0.47091394823827726</v>
      </c>
      <c r="BE181" s="91" cm="1">
        <f t="array" ref="BE181">IFERROR(_xlfn.IFS($AB181="عدد الموظفين/الوحدة",Z181*$AA181,$AB181='طريقة الحساب'!$B$2,Z181*$AA181/الافتراضات!$B$27,$AB181='طريقة الحساب'!$B$3,Z181*$AA181/الافتراضات!$B$26,$AB181='طريقة الحساب'!$B$4,Z181*$AA181/الافتراضات!$B$28),"")</f>
        <v>0</v>
      </c>
      <c r="BF181" s="92"/>
    </row>
    <row r="182" spans="2:58" x14ac:dyDescent="0.35">
      <c r="B182" s="124" t="s">
        <v>87</v>
      </c>
      <c r="C182" s="131" t="s">
        <v>88</v>
      </c>
      <c r="D182" s="131" t="s">
        <v>90</v>
      </c>
      <c r="E182" s="138" t="s">
        <v>92</v>
      </c>
      <c r="F182" s="125" t="s">
        <v>234</v>
      </c>
      <c r="G182" s="126" t="s">
        <v>84</v>
      </c>
      <c r="H182" s="127"/>
      <c r="I182" s="132">
        <v>720</v>
      </c>
      <c r="J182" s="133">
        <v>720</v>
      </c>
      <c r="K182" s="133">
        <v>720</v>
      </c>
      <c r="L182" s="133">
        <v>720</v>
      </c>
      <c r="M182" s="133">
        <v>720</v>
      </c>
      <c r="N182" s="133">
        <v>720</v>
      </c>
      <c r="O182" s="133">
        <v>720</v>
      </c>
      <c r="P182" s="139">
        <v>11</v>
      </c>
      <c r="Q182" s="134" t="s">
        <v>45</v>
      </c>
      <c r="R182" s="128"/>
      <c r="S182" s="135">
        <v>720</v>
      </c>
      <c r="T182" s="135">
        <v>720</v>
      </c>
      <c r="U182" s="135">
        <v>720</v>
      </c>
      <c r="V182" s="135">
        <v>720</v>
      </c>
      <c r="W182" s="135">
        <v>720</v>
      </c>
      <c r="X182" s="135">
        <v>720</v>
      </c>
      <c r="Y182" s="135">
        <v>720</v>
      </c>
      <c r="Z182" s="79"/>
      <c r="AA182" s="135">
        <v>11</v>
      </c>
      <c r="AB182" s="136" t="s">
        <v>45</v>
      </c>
      <c r="AC182" s="80"/>
      <c r="AD182" s="81"/>
      <c r="AE182" s="82"/>
      <c r="AF182" s="82"/>
      <c r="AG182" s="82"/>
      <c r="AH182" s="82"/>
      <c r="AI182" s="82"/>
      <c r="AJ182" s="82"/>
      <c r="AK182" s="82"/>
      <c r="AL182" s="82"/>
      <c r="AM182" s="83"/>
      <c r="AN182" s="83"/>
      <c r="AO182" s="84" t="str">
        <f t="shared" si="6"/>
        <v>لا</v>
      </c>
      <c r="AP182" s="85" t="str">
        <f t="shared" si="5"/>
        <v/>
      </c>
      <c r="AQ182" s="84" t="str">
        <f t="shared" si="6"/>
        <v>لا</v>
      </c>
      <c r="AR182" s="85" t="str">
        <f t="shared" si="7"/>
        <v/>
      </c>
      <c r="AS182" s="86" t="str">
        <f t="shared" si="8"/>
        <v>لا</v>
      </c>
      <c r="AT182" s="87" t="str">
        <f t="shared" si="9"/>
        <v/>
      </c>
      <c r="AU182" s="88"/>
      <c r="AV182" s="89"/>
      <c r="AW182" s="90"/>
      <c r="AX182" s="91" cm="1">
        <f t="array" ref="AX182">IFERROR(_xlfn.IFS($AB182="عدد الموظفين/الوحدة",S182*$AA182,$AB182='طريقة الحساب'!$B$2,S182*$AA182/الافتراضات!$B$27,$AB182='طريقة الحساب'!$B$3,S182*$AA182/الافتراضات!$B$26,$AB182='طريقة الحساب'!$B$4,S182*$AA182/الافتراضات!$B$28),"")</f>
        <v>0.13320137393025558</v>
      </c>
      <c r="AY182" s="91" cm="1">
        <f t="array" ref="AY182">IFERROR(_xlfn.IFS($AB182="عدد الموظفين/الوحدة",T182*$AA182,$AB182='طريقة الحساب'!$B$2,T182*$AA182/الافتراضات!$B$27,$AB182='طريقة الحساب'!$B$3,T182*$AA182/الافتراضات!$B$26,$AB182='طريقة الحساب'!$B$4,T182*$AA182/الافتراضات!$B$28),"")</f>
        <v>0.13320137393025558</v>
      </c>
      <c r="AZ182" s="91" cm="1">
        <f t="array" ref="AZ182">IFERROR(_xlfn.IFS($AB182="عدد الموظفين/الوحدة",U182*$AA182,$AB182='طريقة الحساب'!$B$2,U182*$AA182/الافتراضات!$B$27,$AB182='طريقة الحساب'!$B$3,U182*$AA182/الافتراضات!$B$26,$AB182='طريقة الحساب'!$B$4,U182*$AA182/الافتراضات!$B$28),"")</f>
        <v>0.13320137393025558</v>
      </c>
      <c r="BA182" s="91" cm="1">
        <f t="array" ref="BA182">IFERROR(_xlfn.IFS($AB182="عدد الموظفين/الوحدة",V182*$AA182,$AB182='طريقة الحساب'!$B$2,V182*$AA182/الافتراضات!$B$27,$AB182='طريقة الحساب'!$B$3,V182*$AA182/الافتراضات!$B$26,$AB182='طريقة الحساب'!$B$4,V182*$AA182/الافتراضات!$B$28),"")</f>
        <v>0.13320137393025558</v>
      </c>
      <c r="BB182" s="91" cm="1">
        <f t="array" ref="BB182">IFERROR(_xlfn.IFS($AB182="عدد الموظفين/الوحدة",W182*$AA182,$AB182='طريقة الحساب'!$B$2,W182*$AA182/الافتراضات!$B$27,$AB182='طريقة الحساب'!$B$3,W182*$AA182/الافتراضات!$B$26,$AB182='طريقة الحساب'!$B$4,W182*$AA182/الافتراضات!$B$28),"")</f>
        <v>0.13320137393025558</v>
      </c>
      <c r="BC182" s="91" cm="1">
        <f t="array" ref="BC182">IFERROR(_xlfn.IFS($AB182="عدد الموظفين/الوحدة",X182*$AA182,$AB182='طريقة الحساب'!$B$2,X182*$AA182/الافتراضات!$B$27,$AB182='طريقة الحساب'!$B$3,X182*$AA182/الافتراضات!$B$26,$AB182='طريقة الحساب'!$B$4,X182*$AA182/الافتراضات!$B$28),"")</f>
        <v>0.13320137393025558</v>
      </c>
      <c r="BD182" s="91" cm="1">
        <f t="array" ref="BD182">IFERROR(_xlfn.IFS($AB182="عدد الموظفين/الوحدة",Y182*$AA182,$AB182='طريقة الحساب'!$B$2,Y182*$AA182/الافتراضات!$B$27,$AB182='طريقة الحساب'!$B$3,Y182*$AA182/الافتراضات!$B$26,$AB182='طريقة الحساب'!$B$4,Y182*$AA182/الافتراضات!$B$28),"")</f>
        <v>0.13320137393025558</v>
      </c>
      <c r="BE182" s="91" cm="1">
        <f t="array" ref="BE182">IFERROR(_xlfn.IFS($AB182="عدد الموظفين/الوحدة",Z182*$AA182,$AB182='طريقة الحساب'!$B$2,Z182*$AA182/الافتراضات!$B$27,$AB182='طريقة الحساب'!$B$3,Z182*$AA182/الافتراضات!$B$26,$AB182='طريقة الحساب'!$B$4,Z182*$AA182/الافتراضات!$B$28),"")</f>
        <v>0</v>
      </c>
      <c r="BF182" s="92"/>
    </row>
    <row r="183" spans="2:58" x14ac:dyDescent="0.35">
      <c r="B183" s="124" t="s">
        <v>87</v>
      </c>
      <c r="C183" s="131" t="s">
        <v>88</v>
      </c>
      <c r="D183" s="131" t="s">
        <v>90</v>
      </c>
      <c r="E183" s="138" t="s">
        <v>92</v>
      </c>
      <c r="F183" s="125" t="s">
        <v>235</v>
      </c>
      <c r="G183" s="126" t="s">
        <v>84</v>
      </c>
      <c r="H183" s="127"/>
      <c r="I183" s="132">
        <v>400</v>
      </c>
      <c r="J183" s="133">
        <v>410</v>
      </c>
      <c r="K183" s="133">
        <v>415</v>
      </c>
      <c r="L183" s="133">
        <v>420</v>
      </c>
      <c r="M183" s="133">
        <v>425</v>
      </c>
      <c r="N183" s="133">
        <v>430</v>
      </c>
      <c r="O183" s="133">
        <v>430</v>
      </c>
      <c r="P183" s="139">
        <v>60</v>
      </c>
      <c r="Q183" s="134" t="s">
        <v>45</v>
      </c>
      <c r="R183" s="128"/>
      <c r="S183" s="135">
        <v>400</v>
      </c>
      <c r="T183" s="135">
        <v>410</v>
      </c>
      <c r="U183" s="135">
        <v>415</v>
      </c>
      <c r="V183" s="135">
        <v>420</v>
      </c>
      <c r="W183" s="135">
        <v>425</v>
      </c>
      <c r="X183" s="135">
        <v>430</v>
      </c>
      <c r="Y183" s="135">
        <v>430</v>
      </c>
      <c r="Z183" s="79"/>
      <c r="AA183" s="135">
        <v>60</v>
      </c>
      <c r="AB183" s="136" t="s">
        <v>45</v>
      </c>
      <c r="AC183" s="80"/>
      <c r="AD183" s="81"/>
      <c r="AE183" s="82"/>
      <c r="AF183" s="82"/>
      <c r="AG183" s="82"/>
      <c r="AH183" s="82"/>
      <c r="AI183" s="82"/>
      <c r="AJ183" s="82"/>
      <c r="AK183" s="82"/>
      <c r="AL183" s="82"/>
      <c r="AM183" s="83"/>
      <c r="AN183" s="83"/>
      <c r="AO183" s="84" t="str">
        <f t="shared" si="6"/>
        <v>لا</v>
      </c>
      <c r="AP183" s="85" t="str">
        <f t="shared" si="5"/>
        <v/>
      </c>
      <c r="AQ183" s="84" t="str">
        <f t="shared" si="6"/>
        <v>لا</v>
      </c>
      <c r="AR183" s="85" t="str">
        <f t="shared" si="7"/>
        <v/>
      </c>
      <c r="AS183" s="86" t="str">
        <f t="shared" si="8"/>
        <v>لا</v>
      </c>
      <c r="AT183" s="87" t="str">
        <f t="shared" si="9"/>
        <v/>
      </c>
      <c r="AU183" s="88"/>
      <c r="AV183" s="89"/>
      <c r="AW183" s="90"/>
      <c r="AX183" s="91" cm="1">
        <f t="array" ref="AX183">IFERROR(_xlfn.IFS($AB183="عدد الموظفين/الوحدة",S183*$AA183,$AB183='طريقة الحساب'!$B$2,S183*$AA183/الافتراضات!$B$27,$AB183='طريقة الحساب'!$B$3,S183*$AA183/الافتراضات!$B$26,$AB183='طريقة الحساب'!$B$4,S183*$AA183/الافتراضات!$B$28),"")</f>
        <v>0.40364052706138054</v>
      </c>
      <c r="AY183" s="91" cm="1">
        <f t="array" ref="AY183">IFERROR(_xlfn.IFS($AB183="عدد الموظفين/الوحدة",T183*$AA183,$AB183='طريقة الحساب'!$B$2,T183*$AA183/الافتراضات!$B$27,$AB183='طريقة الحساب'!$B$3,T183*$AA183/الافتراضات!$B$26,$AB183='طريقة الحساب'!$B$4,T183*$AA183/الافتراضات!$B$28),"")</f>
        <v>0.41373154023791503</v>
      </c>
      <c r="AZ183" s="91" cm="1">
        <f t="array" ref="AZ183">IFERROR(_xlfn.IFS($AB183="عدد الموظفين/الوحدة",U183*$AA183,$AB183='طريقة الحساب'!$B$2,U183*$AA183/الافتراضات!$B$27,$AB183='طريقة الحساب'!$B$3,U183*$AA183/الافتراضات!$B$26,$AB183='طريقة الحساب'!$B$4,U183*$AA183/الافتراضات!$B$28),"")</f>
        <v>0.41877704682618228</v>
      </c>
      <c r="BA183" s="91" cm="1">
        <f t="array" ref="BA183">IFERROR(_xlfn.IFS($AB183="عدد الموظفين/الوحدة",V183*$AA183,$AB183='طريقة الحساب'!$B$2,V183*$AA183/الافتراضات!$B$27,$AB183='طريقة الحساب'!$B$3,V183*$AA183/الافتراضات!$B$26,$AB183='طريقة الحساب'!$B$4,V183*$AA183/الافتراضات!$B$28),"")</f>
        <v>0.42382255341444952</v>
      </c>
      <c r="BB183" s="91" cm="1">
        <f t="array" ref="BB183">IFERROR(_xlfn.IFS($AB183="عدد الموظفين/الوحدة",W183*$AA183,$AB183='طريقة الحساب'!$B$2,W183*$AA183/الافتراضات!$B$27,$AB183='طريقة الحساب'!$B$3,W183*$AA183/الافتراضات!$B$26,$AB183='طريقة الحساب'!$B$4,W183*$AA183/الافتراضات!$B$28),"")</f>
        <v>0.42886806000271682</v>
      </c>
      <c r="BC183" s="91" cm="1">
        <f t="array" ref="BC183">IFERROR(_xlfn.IFS($AB183="عدد الموظفين/الوحدة",X183*$AA183,$AB183='طريقة الحساب'!$B$2,X183*$AA183/الافتراضات!$B$27,$AB183='طريقة الحساب'!$B$3,X183*$AA183/الافتراضات!$B$26,$AB183='طريقة الحساب'!$B$4,X183*$AA183/الافتراضات!$B$28),"")</f>
        <v>0.43391356659098407</v>
      </c>
      <c r="BD183" s="91" cm="1">
        <f t="array" ref="BD183">IFERROR(_xlfn.IFS($AB183="عدد الموظفين/الوحدة",Y183*$AA183,$AB183='طريقة الحساب'!$B$2,Y183*$AA183/الافتراضات!$B$27,$AB183='طريقة الحساب'!$B$3,Y183*$AA183/الافتراضات!$B$26,$AB183='طريقة الحساب'!$B$4,Y183*$AA183/الافتراضات!$B$28),"")</f>
        <v>0.43391356659098407</v>
      </c>
      <c r="BE183" s="91" cm="1">
        <f t="array" ref="BE183">IFERROR(_xlfn.IFS($AB183="عدد الموظفين/الوحدة",Z183*$AA183,$AB183='طريقة الحساب'!$B$2,Z183*$AA183/الافتراضات!$B$27,$AB183='طريقة الحساب'!$B$3,Z183*$AA183/الافتراضات!$B$26,$AB183='طريقة الحساب'!$B$4,Z183*$AA183/الافتراضات!$B$28),"")</f>
        <v>0</v>
      </c>
      <c r="BF183" s="92"/>
    </row>
    <row r="184" spans="2:58" x14ac:dyDescent="0.35">
      <c r="B184" s="124" t="s">
        <v>87</v>
      </c>
      <c r="C184" s="131" t="s">
        <v>88</v>
      </c>
      <c r="D184" s="131" t="s">
        <v>90</v>
      </c>
      <c r="E184" s="138" t="s">
        <v>92</v>
      </c>
      <c r="F184" s="125" t="s">
        <v>236</v>
      </c>
      <c r="G184" s="126" t="s">
        <v>84</v>
      </c>
      <c r="H184" s="127"/>
      <c r="I184" s="132">
        <v>960</v>
      </c>
      <c r="J184" s="133">
        <v>970</v>
      </c>
      <c r="K184" s="133">
        <v>980</v>
      </c>
      <c r="L184" s="133">
        <v>990</v>
      </c>
      <c r="M184" s="133">
        <v>1000</v>
      </c>
      <c r="N184" s="133">
        <v>1010</v>
      </c>
      <c r="O184" s="133">
        <v>1010</v>
      </c>
      <c r="P184" s="139">
        <v>30</v>
      </c>
      <c r="Q184" s="134" t="s">
        <v>45</v>
      </c>
      <c r="R184" s="128"/>
      <c r="S184" s="135">
        <v>960</v>
      </c>
      <c r="T184" s="135">
        <v>970</v>
      </c>
      <c r="U184" s="135">
        <v>980</v>
      </c>
      <c r="V184" s="135">
        <v>990</v>
      </c>
      <c r="W184" s="135">
        <v>1000</v>
      </c>
      <c r="X184" s="135">
        <v>1010</v>
      </c>
      <c r="Y184" s="135">
        <v>1010</v>
      </c>
      <c r="Z184" s="79"/>
      <c r="AA184" s="135">
        <v>30</v>
      </c>
      <c r="AB184" s="136" t="s">
        <v>45</v>
      </c>
      <c r="AC184" s="80"/>
      <c r="AD184" s="81"/>
      <c r="AE184" s="82"/>
      <c r="AF184" s="82"/>
      <c r="AG184" s="82"/>
      <c r="AH184" s="82"/>
      <c r="AI184" s="82"/>
      <c r="AJ184" s="82"/>
      <c r="AK184" s="82"/>
      <c r="AL184" s="82"/>
      <c r="AM184" s="83"/>
      <c r="AN184" s="83"/>
      <c r="AO184" s="84" t="str">
        <f t="shared" si="6"/>
        <v>لا</v>
      </c>
      <c r="AP184" s="85" t="str">
        <f t="shared" si="5"/>
        <v/>
      </c>
      <c r="AQ184" s="84" t="str">
        <f t="shared" si="6"/>
        <v>لا</v>
      </c>
      <c r="AR184" s="85" t="str">
        <f t="shared" si="7"/>
        <v/>
      </c>
      <c r="AS184" s="86" t="str">
        <f t="shared" si="8"/>
        <v>لا</v>
      </c>
      <c r="AT184" s="87" t="str">
        <f t="shared" si="9"/>
        <v/>
      </c>
      <c r="AU184" s="88"/>
      <c r="AV184" s="89"/>
      <c r="AW184" s="90"/>
      <c r="AX184" s="91" cm="1">
        <f t="array" ref="AX184">IFERROR(_xlfn.IFS($AB184="عدد الموظفين/الوحدة",S184*$AA184,$AB184='طريقة الحساب'!$B$2,S184*$AA184/الافتراضات!$B$27,$AB184='طريقة الحساب'!$B$3,S184*$AA184/الافتراضات!$B$26,$AB184='طريقة الحساب'!$B$4,S184*$AA184/الافتراضات!$B$28),"")</f>
        <v>0.48436863247365664</v>
      </c>
      <c r="AY184" s="91" cm="1">
        <f t="array" ref="AY184">IFERROR(_xlfn.IFS($AB184="عدد الموظفين/الوحدة",T184*$AA184,$AB184='طريقة الحساب'!$B$2,T184*$AA184/الافتراضات!$B$27,$AB184='طريقة الحساب'!$B$3,T184*$AA184/الافتراضات!$B$26,$AB184='طريقة الحساب'!$B$4,T184*$AA184/الافتراضات!$B$28),"")</f>
        <v>0.48941413906192388</v>
      </c>
      <c r="AZ184" s="91" cm="1">
        <f t="array" ref="AZ184">IFERROR(_xlfn.IFS($AB184="عدد الموظفين/الوحدة",U184*$AA184,$AB184='طريقة الحساب'!$B$2,U184*$AA184/الافتراضات!$B$27,$AB184='طريقة الحساب'!$B$3,U184*$AA184/الافتراضات!$B$26,$AB184='طريقة الحساب'!$B$4,U184*$AA184/الافتراضات!$B$28),"")</f>
        <v>0.49445964565019113</v>
      </c>
      <c r="BA184" s="91" cm="1">
        <f t="array" ref="BA184">IFERROR(_xlfn.IFS($AB184="عدد الموظفين/الوحدة",V184*$AA184,$AB184='طريقة الحساب'!$B$2,V184*$AA184/الافتراضات!$B$27,$AB184='طريقة الحساب'!$B$3,V184*$AA184/الافتراضات!$B$26,$AB184='طريقة الحساب'!$B$4,V184*$AA184/الافتراضات!$B$28),"")</f>
        <v>0.49950515223845837</v>
      </c>
      <c r="BB184" s="91" cm="1">
        <f t="array" ref="BB184">IFERROR(_xlfn.IFS($AB184="عدد الموظفين/الوحدة",W184*$AA184,$AB184='طريقة الحساب'!$B$2,W184*$AA184/الافتراضات!$B$27,$AB184='طريقة الحساب'!$B$3,W184*$AA184/الافتراضات!$B$26,$AB184='طريقة الحساب'!$B$4,W184*$AA184/الافتراضات!$B$28),"")</f>
        <v>0.50455065882672567</v>
      </c>
      <c r="BC184" s="91" cm="1">
        <f t="array" ref="BC184">IFERROR(_xlfn.IFS($AB184="عدد الموظفين/الوحدة",X184*$AA184,$AB184='طريقة الحساب'!$B$2,X184*$AA184/الافتراضات!$B$27,$AB184='طريقة الحساب'!$B$3,X184*$AA184/الافتراضات!$B$26,$AB184='طريقة الحساب'!$B$4,X184*$AA184/الافتراضات!$B$28),"")</f>
        <v>0.50959616541499286</v>
      </c>
      <c r="BD184" s="91" cm="1">
        <f t="array" ref="BD184">IFERROR(_xlfn.IFS($AB184="عدد الموظفين/الوحدة",Y184*$AA184,$AB184='طريقة الحساب'!$B$2,Y184*$AA184/الافتراضات!$B$27,$AB184='طريقة الحساب'!$B$3,Y184*$AA184/الافتراضات!$B$26,$AB184='طريقة الحساب'!$B$4,Y184*$AA184/الافتراضات!$B$28),"")</f>
        <v>0.50959616541499286</v>
      </c>
      <c r="BE184" s="91" cm="1">
        <f t="array" ref="BE184">IFERROR(_xlfn.IFS($AB184="عدد الموظفين/الوحدة",Z184*$AA184,$AB184='طريقة الحساب'!$B$2,Z184*$AA184/الافتراضات!$B$27,$AB184='طريقة الحساب'!$B$3,Z184*$AA184/الافتراضات!$B$26,$AB184='طريقة الحساب'!$B$4,Z184*$AA184/الافتراضات!$B$28),"")</f>
        <v>0</v>
      </c>
      <c r="BF184" s="92"/>
    </row>
    <row r="185" spans="2:58" x14ac:dyDescent="0.35">
      <c r="B185" s="124" t="s">
        <v>87</v>
      </c>
      <c r="C185" s="131" t="s">
        <v>88</v>
      </c>
      <c r="D185" s="131" t="s">
        <v>90</v>
      </c>
      <c r="E185" s="138" t="s">
        <v>92</v>
      </c>
      <c r="F185" s="125" t="s">
        <v>237</v>
      </c>
      <c r="G185" s="126" t="s">
        <v>84</v>
      </c>
      <c r="H185" s="127"/>
      <c r="I185" s="132">
        <v>300</v>
      </c>
      <c r="J185" s="133">
        <v>300</v>
      </c>
      <c r="K185" s="133">
        <v>300</v>
      </c>
      <c r="L185" s="133">
        <v>300</v>
      </c>
      <c r="M185" s="133">
        <v>300</v>
      </c>
      <c r="N185" s="133">
        <v>300</v>
      </c>
      <c r="O185" s="133">
        <v>300</v>
      </c>
      <c r="P185" s="139">
        <v>3</v>
      </c>
      <c r="Q185" s="134" t="s">
        <v>46</v>
      </c>
      <c r="R185" s="128"/>
      <c r="S185" s="135">
        <v>300</v>
      </c>
      <c r="T185" s="135">
        <v>300</v>
      </c>
      <c r="U185" s="135">
        <v>300</v>
      </c>
      <c r="V185" s="135">
        <v>300</v>
      </c>
      <c r="W185" s="135">
        <v>300</v>
      </c>
      <c r="X185" s="135">
        <v>300</v>
      </c>
      <c r="Y185" s="135">
        <v>300</v>
      </c>
      <c r="Z185" s="79"/>
      <c r="AA185" s="135">
        <v>3</v>
      </c>
      <c r="AB185" s="136" t="s">
        <v>46</v>
      </c>
      <c r="AC185" s="80"/>
      <c r="AD185" s="81"/>
      <c r="AE185" s="82"/>
      <c r="AF185" s="82"/>
      <c r="AG185" s="82"/>
      <c r="AH185" s="82"/>
      <c r="AI185" s="82"/>
      <c r="AJ185" s="82"/>
      <c r="AK185" s="82"/>
      <c r="AL185" s="82"/>
      <c r="AM185" s="83"/>
      <c r="AN185" s="83"/>
      <c r="AO185" s="84" t="str">
        <f t="shared" si="6"/>
        <v>لا</v>
      </c>
      <c r="AP185" s="85" t="str">
        <f t="shared" si="5"/>
        <v/>
      </c>
      <c r="AQ185" s="84" t="str">
        <f t="shared" si="6"/>
        <v>لا</v>
      </c>
      <c r="AR185" s="85" t="str">
        <f t="shared" si="7"/>
        <v/>
      </c>
      <c r="AS185" s="86" t="str">
        <f t="shared" si="8"/>
        <v>لا</v>
      </c>
      <c r="AT185" s="87" t="str">
        <f t="shared" si="9"/>
        <v/>
      </c>
      <c r="AU185" s="88"/>
      <c r="AV185" s="89"/>
      <c r="AW185" s="90"/>
      <c r="AX185" s="91" cm="1">
        <f t="array" ref="AX185">IFERROR(_xlfn.IFS($AB185="عدد الموظفين/الوحدة",S185*$AA185,$AB185='طريقة الحساب'!$B$2,S185*$AA185/الافتراضات!$B$27,$AB185='طريقة الحساب'!$B$3,S185*$AA185/الافتراضات!$B$26,$AB185='طريقة الحساب'!$B$4,S185*$AA185/الافتراضات!$B$28),"")</f>
        <v>4.6632124352331603</v>
      </c>
      <c r="AY185" s="91" cm="1">
        <f t="array" ref="AY185">IFERROR(_xlfn.IFS($AB185="عدد الموظفين/الوحدة",T185*$AA185,$AB185='طريقة الحساب'!$B$2,T185*$AA185/الافتراضات!$B$27,$AB185='طريقة الحساب'!$B$3,T185*$AA185/الافتراضات!$B$26,$AB185='طريقة الحساب'!$B$4,T185*$AA185/الافتراضات!$B$28),"")</f>
        <v>4.6632124352331603</v>
      </c>
      <c r="AZ185" s="91" cm="1">
        <f t="array" ref="AZ185">IFERROR(_xlfn.IFS($AB185="عدد الموظفين/الوحدة",U185*$AA185,$AB185='طريقة الحساب'!$B$2,U185*$AA185/الافتراضات!$B$27,$AB185='طريقة الحساب'!$B$3,U185*$AA185/الافتراضات!$B$26,$AB185='طريقة الحساب'!$B$4,U185*$AA185/الافتراضات!$B$28),"")</f>
        <v>4.6632124352331603</v>
      </c>
      <c r="BA185" s="91" cm="1">
        <f t="array" ref="BA185">IFERROR(_xlfn.IFS($AB185="عدد الموظفين/الوحدة",V185*$AA185,$AB185='طريقة الحساب'!$B$2,V185*$AA185/الافتراضات!$B$27,$AB185='طريقة الحساب'!$B$3,V185*$AA185/الافتراضات!$B$26,$AB185='طريقة الحساب'!$B$4,V185*$AA185/الافتراضات!$B$28),"")</f>
        <v>4.6632124352331603</v>
      </c>
      <c r="BB185" s="91" cm="1">
        <f t="array" ref="BB185">IFERROR(_xlfn.IFS($AB185="عدد الموظفين/الوحدة",W185*$AA185,$AB185='طريقة الحساب'!$B$2,W185*$AA185/الافتراضات!$B$27,$AB185='طريقة الحساب'!$B$3,W185*$AA185/الافتراضات!$B$26,$AB185='طريقة الحساب'!$B$4,W185*$AA185/الافتراضات!$B$28),"")</f>
        <v>4.6632124352331603</v>
      </c>
      <c r="BC185" s="91" cm="1">
        <f t="array" ref="BC185">IFERROR(_xlfn.IFS($AB185="عدد الموظفين/الوحدة",X185*$AA185,$AB185='طريقة الحساب'!$B$2,X185*$AA185/الافتراضات!$B$27,$AB185='طريقة الحساب'!$B$3,X185*$AA185/الافتراضات!$B$26,$AB185='طريقة الحساب'!$B$4,X185*$AA185/الافتراضات!$B$28),"")</f>
        <v>4.6632124352331603</v>
      </c>
      <c r="BD185" s="91" cm="1">
        <f t="array" ref="BD185">IFERROR(_xlfn.IFS($AB185="عدد الموظفين/الوحدة",Y185*$AA185,$AB185='طريقة الحساب'!$B$2,Y185*$AA185/الافتراضات!$B$27,$AB185='طريقة الحساب'!$B$3,Y185*$AA185/الافتراضات!$B$26,$AB185='طريقة الحساب'!$B$4,Y185*$AA185/الافتراضات!$B$28),"")</f>
        <v>4.6632124352331603</v>
      </c>
      <c r="BE185" s="91" cm="1">
        <f t="array" ref="BE185">IFERROR(_xlfn.IFS($AB185="عدد الموظفين/الوحدة",Z185*$AA185,$AB185='طريقة الحساب'!$B$2,Z185*$AA185/الافتراضات!$B$27,$AB185='طريقة الحساب'!$B$3,Z185*$AA185/الافتراضات!$B$26,$AB185='طريقة الحساب'!$B$4,Z185*$AA185/الافتراضات!$B$28),"")</f>
        <v>0</v>
      </c>
      <c r="BF185" s="92"/>
    </row>
    <row r="186" spans="2:58" x14ac:dyDescent="0.35">
      <c r="B186" s="124" t="s">
        <v>87</v>
      </c>
      <c r="C186" s="131" t="s">
        <v>88</v>
      </c>
      <c r="D186" s="131" t="s">
        <v>90</v>
      </c>
      <c r="E186" s="138" t="s">
        <v>93</v>
      </c>
      <c r="F186" s="125" t="s">
        <v>238</v>
      </c>
      <c r="G186" s="126" t="s">
        <v>84</v>
      </c>
      <c r="H186" s="127"/>
      <c r="I186" s="132">
        <v>1650</v>
      </c>
      <c r="J186" s="133">
        <v>1650</v>
      </c>
      <c r="K186" s="133">
        <v>1650</v>
      </c>
      <c r="L186" s="133">
        <v>1650</v>
      </c>
      <c r="M186" s="133">
        <v>1650</v>
      </c>
      <c r="N186" s="133">
        <v>1650</v>
      </c>
      <c r="O186" s="133">
        <v>1650</v>
      </c>
      <c r="P186" s="139">
        <v>1.5</v>
      </c>
      <c r="Q186" s="134" t="s">
        <v>32</v>
      </c>
      <c r="R186" s="128"/>
      <c r="S186" s="135">
        <v>1650</v>
      </c>
      <c r="T186" s="135">
        <v>1650</v>
      </c>
      <c r="U186" s="135">
        <v>1650</v>
      </c>
      <c r="V186" s="135">
        <v>1650</v>
      </c>
      <c r="W186" s="135">
        <v>1650</v>
      </c>
      <c r="X186" s="135">
        <v>1650</v>
      </c>
      <c r="Y186" s="135">
        <v>1650</v>
      </c>
      <c r="Z186" s="79"/>
      <c r="AA186" s="135">
        <v>1.5</v>
      </c>
      <c r="AB186" s="136" t="s">
        <v>32</v>
      </c>
      <c r="AC186" s="80"/>
      <c r="AD186" s="81"/>
      <c r="AE186" s="82"/>
      <c r="AF186" s="82"/>
      <c r="AG186" s="82"/>
      <c r="AH186" s="82"/>
      <c r="AI186" s="82"/>
      <c r="AJ186" s="82"/>
      <c r="AK186" s="82"/>
      <c r="AL186" s="82"/>
      <c r="AM186" s="83"/>
      <c r="AN186" s="83"/>
      <c r="AO186" s="84" t="str">
        <f t="shared" si="6"/>
        <v>لا</v>
      </c>
      <c r="AP186" s="85" t="str">
        <f t="shared" si="5"/>
        <v/>
      </c>
      <c r="AQ186" s="84" t="str">
        <f t="shared" si="6"/>
        <v>لا</v>
      </c>
      <c r="AR186" s="85" t="str">
        <f t="shared" si="7"/>
        <v/>
      </c>
      <c r="AS186" s="86" t="str">
        <f t="shared" si="8"/>
        <v>لا</v>
      </c>
      <c r="AT186" s="87" t="str">
        <f t="shared" si="9"/>
        <v/>
      </c>
      <c r="AU186" s="88"/>
      <c r="AV186" s="89"/>
      <c r="AW186" s="90"/>
      <c r="AX186" s="91" cm="1">
        <f t="array" ref="AX186">IFERROR(_xlfn.IFS($AB186="عدد الموظفين/الوحدة",S186*$AA186,$AB186='طريقة الحساب'!$B$2,S186*$AA186/الافتراضات!$B$27,$AB186='طريقة الحساب'!$B$3,S186*$AA186/الافتراضات!$B$26,$AB186='طريقة الحساب'!$B$4,S186*$AA186/الافتراضات!$B$28),"")</f>
        <v>2.4975257611922919</v>
      </c>
      <c r="AY186" s="91" cm="1">
        <f t="array" ref="AY186">IFERROR(_xlfn.IFS($AB186="عدد الموظفين/الوحدة",T186*$AA186,$AB186='طريقة الحساب'!$B$2,T186*$AA186/الافتراضات!$B$27,$AB186='طريقة الحساب'!$B$3,T186*$AA186/الافتراضات!$B$26,$AB186='طريقة الحساب'!$B$4,T186*$AA186/الافتراضات!$B$28),"")</f>
        <v>2.4975257611922919</v>
      </c>
      <c r="AZ186" s="91" cm="1">
        <f t="array" ref="AZ186">IFERROR(_xlfn.IFS($AB186="عدد الموظفين/الوحدة",U186*$AA186,$AB186='طريقة الحساب'!$B$2,U186*$AA186/الافتراضات!$B$27,$AB186='طريقة الحساب'!$B$3,U186*$AA186/الافتراضات!$B$26,$AB186='طريقة الحساب'!$B$4,U186*$AA186/الافتراضات!$B$28),"")</f>
        <v>2.4975257611922919</v>
      </c>
      <c r="BA186" s="91" cm="1">
        <f t="array" ref="BA186">IFERROR(_xlfn.IFS($AB186="عدد الموظفين/الوحدة",V186*$AA186,$AB186='طريقة الحساب'!$B$2,V186*$AA186/الافتراضات!$B$27,$AB186='طريقة الحساب'!$B$3,V186*$AA186/الافتراضات!$B$26,$AB186='طريقة الحساب'!$B$4,V186*$AA186/الافتراضات!$B$28),"")</f>
        <v>2.4975257611922919</v>
      </c>
      <c r="BB186" s="91" cm="1">
        <f t="array" ref="BB186">IFERROR(_xlfn.IFS($AB186="عدد الموظفين/الوحدة",W186*$AA186,$AB186='طريقة الحساب'!$B$2,W186*$AA186/الافتراضات!$B$27,$AB186='طريقة الحساب'!$B$3,W186*$AA186/الافتراضات!$B$26,$AB186='طريقة الحساب'!$B$4,W186*$AA186/الافتراضات!$B$28),"")</f>
        <v>2.4975257611922919</v>
      </c>
      <c r="BC186" s="91" cm="1">
        <f t="array" ref="BC186">IFERROR(_xlfn.IFS($AB186="عدد الموظفين/الوحدة",X186*$AA186,$AB186='طريقة الحساب'!$B$2,X186*$AA186/الافتراضات!$B$27,$AB186='طريقة الحساب'!$B$3,X186*$AA186/الافتراضات!$B$26,$AB186='طريقة الحساب'!$B$4,X186*$AA186/الافتراضات!$B$28),"")</f>
        <v>2.4975257611922919</v>
      </c>
      <c r="BD186" s="91" cm="1">
        <f t="array" ref="BD186">IFERROR(_xlfn.IFS($AB186="عدد الموظفين/الوحدة",Y186*$AA186,$AB186='طريقة الحساب'!$B$2,Y186*$AA186/الافتراضات!$B$27,$AB186='طريقة الحساب'!$B$3,Y186*$AA186/الافتراضات!$B$26,$AB186='طريقة الحساب'!$B$4,Y186*$AA186/الافتراضات!$B$28),"")</f>
        <v>2.4975257611922919</v>
      </c>
      <c r="BE186" s="91" cm="1">
        <f t="array" ref="BE186">IFERROR(_xlfn.IFS($AB186="عدد الموظفين/الوحدة",Z186*$AA186,$AB186='طريقة الحساب'!$B$2,Z186*$AA186/الافتراضات!$B$27,$AB186='طريقة الحساب'!$B$3,Z186*$AA186/الافتراضات!$B$26,$AB186='طريقة الحساب'!$B$4,Z186*$AA186/الافتراضات!$B$28),"")</f>
        <v>0</v>
      </c>
      <c r="BF186" s="92"/>
    </row>
    <row r="187" spans="2:58" x14ac:dyDescent="0.35">
      <c r="B187" s="124" t="s">
        <v>87</v>
      </c>
      <c r="C187" s="131" t="s">
        <v>88</v>
      </c>
      <c r="D187" s="131" t="s">
        <v>90</v>
      </c>
      <c r="E187" s="138" t="s">
        <v>93</v>
      </c>
      <c r="F187" s="125" t="s">
        <v>239</v>
      </c>
      <c r="G187" s="126" t="s">
        <v>84</v>
      </c>
      <c r="H187" s="127"/>
      <c r="I187" s="132">
        <v>1150</v>
      </c>
      <c r="J187" s="133">
        <v>1150</v>
      </c>
      <c r="K187" s="133">
        <v>1150</v>
      </c>
      <c r="L187" s="133">
        <v>1150</v>
      </c>
      <c r="M187" s="133">
        <v>1150</v>
      </c>
      <c r="N187" s="133">
        <v>1150</v>
      </c>
      <c r="O187" s="133">
        <v>1150</v>
      </c>
      <c r="P187" s="139">
        <v>20</v>
      </c>
      <c r="Q187" s="134" t="s">
        <v>45</v>
      </c>
      <c r="R187" s="128"/>
      <c r="S187" s="135">
        <v>1150</v>
      </c>
      <c r="T187" s="135">
        <v>1150</v>
      </c>
      <c r="U187" s="135">
        <v>1150</v>
      </c>
      <c r="V187" s="135">
        <v>1150</v>
      </c>
      <c r="W187" s="135">
        <v>1150</v>
      </c>
      <c r="X187" s="135">
        <v>1150</v>
      </c>
      <c r="Y187" s="135">
        <v>1150</v>
      </c>
      <c r="Z187" s="79"/>
      <c r="AA187" s="135">
        <v>20</v>
      </c>
      <c r="AB187" s="136" t="s">
        <v>45</v>
      </c>
      <c r="AC187" s="80"/>
      <c r="AD187" s="81"/>
      <c r="AE187" s="82"/>
      <c r="AF187" s="82"/>
      <c r="AG187" s="82"/>
      <c r="AH187" s="82"/>
      <c r="AI187" s="82"/>
      <c r="AJ187" s="82"/>
      <c r="AK187" s="82"/>
      <c r="AL187" s="82"/>
      <c r="AM187" s="83"/>
      <c r="AN187" s="83"/>
      <c r="AO187" s="84" t="str">
        <f t="shared" si="6"/>
        <v>لا</v>
      </c>
      <c r="AP187" s="85" t="str">
        <f t="shared" si="5"/>
        <v/>
      </c>
      <c r="AQ187" s="84" t="str">
        <f t="shared" si="6"/>
        <v>لا</v>
      </c>
      <c r="AR187" s="85" t="str">
        <f t="shared" si="7"/>
        <v/>
      </c>
      <c r="AS187" s="86" t="str">
        <f t="shared" si="8"/>
        <v>لا</v>
      </c>
      <c r="AT187" s="87" t="str">
        <f t="shared" si="9"/>
        <v/>
      </c>
      <c r="AU187" s="88"/>
      <c r="AV187" s="89"/>
      <c r="AW187" s="90"/>
      <c r="AX187" s="91" cm="1">
        <f t="array" ref="AX187">IFERROR(_xlfn.IFS($AB187="عدد الموظفين/الوحدة",S187*$AA187,$AB187='طريقة الحساب'!$B$2,S187*$AA187/الافتراضات!$B$27,$AB187='طريقة الحساب'!$B$3,S187*$AA187/الافتراضات!$B$26,$AB187='طريقة الحساب'!$B$4,S187*$AA187/الافتراضات!$B$28),"")</f>
        <v>0.38682217176715633</v>
      </c>
      <c r="AY187" s="91" cm="1">
        <f t="array" ref="AY187">IFERROR(_xlfn.IFS($AB187="عدد الموظفين/الوحدة",T187*$AA187,$AB187='طريقة الحساب'!$B$2,T187*$AA187/الافتراضات!$B$27,$AB187='طريقة الحساب'!$B$3,T187*$AA187/الافتراضات!$B$26,$AB187='طريقة الحساب'!$B$4,T187*$AA187/الافتراضات!$B$28),"")</f>
        <v>0.38682217176715633</v>
      </c>
      <c r="AZ187" s="91" cm="1">
        <f t="array" ref="AZ187">IFERROR(_xlfn.IFS($AB187="عدد الموظفين/الوحدة",U187*$AA187,$AB187='طريقة الحساب'!$B$2,U187*$AA187/الافتراضات!$B$27,$AB187='طريقة الحساب'!$B$3,U187*$AA187/الافتراضات!$B$26,$AB187='طريقة الحساب'!$B$4,U187*$AA187/الافتراضات!$B$28),"")</f>
        <v>0.38682217176715633</v>
      </c>
      <c r="BA187" s="91" cm="1">
        <f t="array" ref="BA187">IFERROR(_xlfn.IFS($AB187="عدد الموظفين/الوحدة",V187*$AA187,$AB187='طريقة الحساب'!$B$2,V187*$AA187/الافتراضات!$B$27,$AB187='طريقة الحساب'!$B$3,V187*$AA187/الافتراضات!$B$26,$AB187='طريقة الحساب'!$B$4,V187*$AA187/الافتراضات!$B$28),"")</f>
        <v>0.38682217176715633</v>
      </c>
      <c r="BB187" s="91" cm="1">
        <f t="array" ref="BB187">IFERROR(_xlfn.IFS($AB187="عدد الموظفين/الوحدة",W187*$AA187,$AB187='طريقة الحساب'!$B$2,W187*$AA187/الافتراضات!$B$27,$AB187='طريقة الحساب'!$B$3,W187*$AA187/الافتراضات!$B$26,$AB187='طريقة الحساب'!$B$4,W187*$AA187/الافتراضات!$B$28),"")</f>
        <v>0.38682217176715633</v>
      </c>
      <c r="BC187" s="91" cm="1">
        <f t="array" ref="BC187">IFERROR(_xlfn.IFS($AB187="عدد الموظفين/الوحدة",X187*$AA187,$AB187='طريقة الحساب'!$B$2,X187*$AA187/الافتراضات!$B$27,$AB187='طريقة الحساب'!$B$3,X187*$AA187/الافتراضات!$B$26,$AB187='طريقة الحساب'!$B$4,X187*$AA187/الافتراضات!$B$28),"")</f>
        <v>0.38682217176715633</v>
      </c>
      <c r="BD187" s="91" cm="1">
        <f t="array" ref="BD187">IFERROR(_xlfn.IFS($AB187="عدد الموظفين/الوحدة",Y187*$AA187,$AB187='طريقة الحساب'!$B$2,Y187*$AA187/الافتراضات!$B$27,$AB187='طريقة الحساب'!$B$3,Y187*$AA187/الافتراضات!$B$26,$AB187='طريقة الحساب'!$B$4,Y187*$AA187/الافتراضات!$B$28),"")</f>
        <v>0.38682217176715633</v>
      </c>
      <c r="BE187" s="91" cm="1">
        <f t="array" ref="BE187">IFERROR(_xlfn.IFS($AB187="عدد الموظفين/الوحدة",Z187*$AA187,$AB187='طريقة الحساب'!$B$2,Z187*$AA187/الافتراضات!$B$27,$AB187='طريقة الحساب'!$B$3,Z187*$AA187/الافتراضات!$B$26,$AB187='طريقة الحساب'!$B$4,Z187*$AA187/الافتراضات!$B$28),"")</f>
        <v>0</v>
      </c>
      <c r="BF187" s="92"/>
    </row>
    <row r="188" spans="2:58" x14ac:dyDescent="0.35">
      <c r="B188" s="124" t="s">
        <v>87</v>
      </c>
      <c r="C188" s="131" t="s">
        <v>88</v>
      </c>
      <c r="D188" s="131" t="s">
        <v>90</v>
      </c>
      <c r="E188" s="138" t="s">
        <v>93</v>
      </c>
      <c r="F188" s="125" t="s">
        <v>240</v>
      </c>
      <c r="G188" s="126" t="s">
        <v>84</v>
      </c>
      <c r="H188" s="127"/>
      <c r="I188" s="132">
        <v>3500</v>
      </c>
      <c r="J188" s="133">
        <v>3500</v>
      </c>
      <c r="K188" s="133">
        <v>3500</v>
      </c>
      <c r="L188" s="133">
        <v>3500</v>
      </c>
      <c r="M188" s="133">
        <v>3500</v>
      </c>
      <c r="N188" s="133">
        <v>3500</v>
      </c>
      <c r="O188" s="133">
        <v>3500</v>
      </c>
      <c r="P188" s="139">
        <v>5</v>
      </c>
      <c r="Q188" s="134" t="s">
        <v>45</v>
      </c>
      <c r="R188" s="128"/>
      <c r="S188" s="135">
        <v>3500</v>
      </c>
      <c r="T188" s="135">
        <v>3500</v>
      </c>
      <c r="U188" s="135">
        <v>3500</v>
      </c>
      <c r="V188" s="135">
        <v>3500</v>
      </c>
      <c r="W188" s="135">
        <v>3500</v>
      </c>
      <c r="X188" s="135">
        <v>3500</v>
      </c>
      <c r="Y188" s="135">
        <v>3500</v>
      </c>
      <c r="Z188" s="79"/>
      <c r="AA188" s="135">
        <v>5</v>
      </c>
      <c r="AB188" s="136" t="s">
        <v>45</v>
      </c>
      <c r="AC188" s="80"/>
      <c r="AD188" s="81"/>
      <c r="AE188" s="82"/>
      <c r="AF188" s="82"/>
      <c r="AG188" s="82"/>
      <c r="AH188" s="82"/>
      <c r="AI188" s="82"/>
      <c r="AJ188" s="82"/>
      <c r="AK188" s="82"/>
      <c r="AL188" s="82"/>
      <c r="AM188" s="83"/>
      <c r="AN188" s="83"/>
      <c r="AO188" s="84" t="str">
        <f t="shared" si="6"/>
        <v>لا</v>
      </c>
      <c r="AP188" s="85" t="str">
        <f t="shared" si="5"/>
        <v/>
      </c>
      <c r="AQ188" s="84" t="str">
        <f t="shared" si="6"/>
        <v>لا</v>
      </c>
      <c r="AR188" s="85" t="str">
        <f t="shared" si="7"/>
        <v/>
      </c>
      <c r="AS188" s="86" t="str">
        <f t="shared" si="8"/>
        <v>لا</v>
      </c>
      <c r="AT188" s="87" t="str">
        <f t="shared" si="9"/>
        <v/>
      </c>
      <c r="AU188" s="88"/>
      <c r="AV188" s="89"/>
      <c r="AW188" s="90"/>
      <c r="AX188" s="91" cm="1">
        <f t="array" ref="AX188">IFERROR(_xlfn.IFS($AB188="عدد الموظفين/الوحدة",S188*$AA188,$AB188='طريقة الحساب'!$B$2,S188*$AA188/الافتراضات!$B$27,$AB188='طريقة الحساب'!$B$3,S188*$AA188/الافتراضات!$B$26,$AB188='طريقة الحساب'!$B$4,S188*$AA188/الافتراضات!$B$28),"")</f>
        <v>0.29432121764892327</v>
      </c>
      <c r="AY188" s="91" cm="1">
        <f t="array" ref="AY188">IFERROR(_xlfn.IFS($AB188="عدد الموظفين/الوحدة",T188*$AA188,$AB188='طريقة الحساب'!$B$2,T188*$AA188/الافتراضات!$B$27,$AB188='طريقة الحساب'!$B$3,T188*$AA188/الافتراضات!$B$26,$AB188='طريقة الحساب'!$B$4,T188*$AA188/الافتراضات!$B$28),"")</f>
        <v>0.29432121764892327</v>
      </c>
      <c r="AZ188" s="91" cm="1">
        <f t="array" ref="AZ188">IFERROR(_xlfn.IFS($AB188="عدد الموظفين/الوحدة",U188*$AA188,$AB188='طريقة الحساب'!$B$2,U188*$AA188/الافتراضات!$B$27,$AB188='طريقة الحساب'!$B$3,U188*$AA188/الافتراضات!$B$26,$AB188='طريقة الحساب'!$B$4,U188*$AA188/الافتراضات!$B$28),"")</f>
        <v>0.29432121764892327</v>
      </c>
      <c r="BA188" s="91" cm="1">
        <f t="array" ref="BA188">IFERROR(_xlfn.IFS($AB188="عدد الموظفين/الوحدة",V188*$AA188,$AB188='طريقة الحساب'!$B$2,V188*$AA188/الافتراضات!$B$27,$AB188='طريقة الحساب'!$B$3,V188*$AA188/الافتراضات!$B$26,$AB188='طريقة الحساب'!$B$4,V188*$AA188/الافتراضات!$B$28),"")</f>
        <v>0.29432121764892327</v>
      </c>
      <c r="BB188" s="91" cm="1">
        <f t="array" ref="BB188">IFERROR(_xlfn.IFS($AB188="عدد الموظفين/الوحدة",W188*$AA188,$AB188='طريقة الحساب'!$B$2,W188*$AA188/الافتراضات!$B$27,$AB188='طريقة الحساب'!$B$3,W188*$AA188/الافتراضات!$B$26,$AB188='طريقة الحساب'!$B$4,W188*$AA188/الافتراضات!$B$28),"")</f>
        <v>0.29432121764892327</v>
      </c>
      <c r="BC188" s="91" cm="1">
        <f t="array" ref="BC188">IFERROR(_xlfn.IFS($AB188="عدد الموظفين/الوحدة",X188*$AA188,$AB188='طريقة الحساب'!$B$2,X188*$AA188/الافتراضات!$B$27,$AB188='طريقة الحساب'!$B$3,X188*$AA188/الافتراضات!$B$26,$AB188='طريقة الحساب'!$B$4,X188*$AA188/الافتراضات!$B$28),"")</f>
        <v>0.29432121764892327</v>
      </c>
      <c r="BD188" s="91" cm="1">
        <f t="array" ref="BD188">IFERROR(_xlfn.IFS($AB188="عدد الموظفين/الوحدة",Y188*$AA188,$AB188='طريقة الحساب'!$B$2,Y188*$AA188/الافتراضات!$B$27,$AB188='طريقة الحساب'!$B$3,Y188*$AA188/الافتراضات!$B$26,$AB188='طريقة الحساب'!$B$4,Y188*$AA188/الافتراضات!$B$28),"")</f>
        <v>0.29432121764892327</v>
      </c>
      <c r="BE188" s="91" cm="1">
        <f t="array" ref="BE188">IFERROR(_xlfn.IFS($AB188="عدد الموظفين/الوحدة",Z188*$AA188,$AB188='طريقة الحساب'!$B$2,Z188*$AA188/الافتراضات!$B$27,$AB188='طريقة الحساب'!$B$3,Z188*$AA188/الافتراضات!$B$26,$AB188='طريقة الحساب'!$B$4,Z188*$AA188/الافتراضات!$B$28),"")</f>
        <v>0</v>
      </c>
      <c r="BF188" s="92"/>
    </row>
    <row r="189" spans="2:58" x14ac:dyDescent="0.35">
      <c r="B189" s="124" t="s">
        <v>87</v>
      </c>
      <c r="C189" s="131" t="s">
        <v>88</v>
      </c>
      <c r="D189" s="131" t="s">
        <v>90</v>
      </c>
      <c r="E189" s="138" t="s">
        <v>93</v>
      </c>
      <c r="F189" s="125" t="s">
        <v>241</v>
      </c>
      <c r="G189" s="126" t="s">
        <v>84</v>
      </c>
      <c r="H189" s="127"/>
      <c r="I189" s="132">
        <v>1700</v>
      </c>
      <c r="J189" s="133">
        <v>1700</v>
      </c>
      <c r="K189" s="133">
        <v>1700</v>
      </c>
      <c r="L189" s="133">
        <v>1700</v>
      </c>
      <c r="M189" s="133">
        <v>1700</v>
      </c>
      <c r="N189" s="133">
        <v>1700</v>
      </c>
      <c r="O189" s="133">
        <v>1700</v>
      </c>
      <c r="P189" s="139">
        <v>8</v>
      </c>
      <c r="Q189" s="134" t="s">
        <v>45</v>
      </c>
      <c r="R189" s="128"/>
      <c r="S189" s="135">
        <v>1700</v>
      </c>
      <c r="T189" s="135">
        <v>1700</v>
      </c>
      <c r="U189" s="135">
        <v>1700</v>
      </c>
      <c r="V189" s="135">
        <v>1700</v>
      </c>
      <c r="W189" s="135">
        <v>1700</v>
      </c>
      <c r="X189" s="135">
        <v>1700</v>
      </c>
      <c r="Y189" s="135">
        <v>1700</v>
      </c>
      <c r="Z189" s="79"/>
      <c r="AA189" s="135">
        <v>8</v>
      </c>
      <c r="AB189" s="136" t="s">
        <v>45</v>
      </c>
      <c r="AC189" s="80"/>
      <c r="AD189" s="81"/>
      <c r="AE189" s="82"/>
      <c r="AF189" s="82"/>
      <c r="AG189" s="82"/>
      <c r="AH189" s="82"/>
      <c r="AI189" s="82"/>
      <c r="AJ189" s="82"/>
      <c r="AK189" s="82"/>
      <c r="AL189" s="82"/>
      <c r="AM189" s="83"/>
      <c r="AN189" s="83"/>
      <c r="AO189" s="84" t="str">
        <f t="shared" si="6"/>
        <v>لا</v>
      </c>
      <c r="AP189" s="85" t="str">
        <f t="shared" si="5"/>
        <v/>
      </c>
      <c r="AQ189" s="84" t="str">
        <f t="shared" si="6"/>
        <v>لا</v>
      </c>
      <c r="AR189" s="85" t="str">
        <f t="shared" si="7"/>
        <v/>
      </c>
      <c r="AS189" s="86" t="str">
        <f t="shared" si="8"/>
        <v>لا</v>
      </c>
      <c r="AT189" s="87" t="str">
        <f t="shared" si="9"/>
        <v/>
      </c>
      <c r="AU189" s="88"/>
      <c r="AV189" s="89"/>
      <c r="AW189" s="90"/>
      <c r="AX189" s="91" cm="1">
        <f t="array" ref="AX189">IFERROR(_xlfn.IFS($AB189="عدد الموظفين/الوحدة",S189*$AA189,$AB189='طريقة الحساب'!$B$2,S189*$AA189/الافتراضات!$B$27,$AB189='طريقة الحساب'!$B$3,S189*$AA189/الافتراضات!$B$26,$AB189='طريقة الحساب'!$B$4,S189*$AA189/الافتراضات!$B$28),"")</f>
        <v>0.22872963200144897</v>
      </c>
      <c r="AY189" s="91" cm="1">
        <f t="array" ref="AY189">IFERROR(_xlfn.IFS($AB189="عدد الموظفين/الوحدة",T189*$AA189,$AB189='طريقة الحساب'!$B$2,T189*$AA189/الافتراضات!$B$27,$AB189='طريقة الحساب'!$B$3,T189*$AA189/الافتراضات!$B$26,$AB189='طريقة الحساب'!$B$4,T189*$AA189/الافتراضات!$B$28),"")</f>
        <v>0.22872963200144897</v>
      </c>
      <c r="AZ189" s="91" cm="1">
        <f t="array" ref="AZ189">IFERROR(_xlfn.IFS($AB189="عدد الموظفين/الوحدة",U189*$AA189,$AB189='طريقة الحساب'!$B$2,U189*$AA189/الافتراضات!$B$27,$AB189='طريقة الحساب'!$B$3,U189*$AA189/الافتراضات!$B$26,$AB189='طريقة الحساب'!$B$4,U189*$AA189/الافتراضات!$B$28),"")</f>
        <v>0.22872963200144897</v>
      </c>
      <c r="BA189" s="91" cm="1">
        <f t="array" ref="BA189">IFERROR(_xlfn.IFS($AB189="عدد الموظفين/الوحدة",V189*$AA189,$AB189='طريقة الحساب'!$B$2,V189*$AA189/الافتراضات!$B$27,$AB189='طريقة الحساب'!$B$3,V189*$AA189/الافتراضات!$B$26,$AB189='طريقة الحساب'!$B$4,V189*$AA189/الافتراضات!$B$28),"")</f>
        <v>0.22872963200144897</v>
      </c>
      <c r="BB189" s="91" cm="1">
        <f t="array" ref="BB189">IFERROR(_xlfn.IFS($AB189="عدد الموظفين/الوحدة",W189*$AA189,$AB189='طريقة الحساب'!$B$2,W189*$AA189/الافتراضات!$B$27,$AB189='طريقة الحساب'!$B$3,W189*$AA189/الافتراضات!$B$26,$AB189='طريقة الحساب'!$B$4,W189*$AA189/الافتراضات!$B$28),"")</f>
        <v>0.22872963200144897</v>
      </c>
      <c r="BC189" s="91" cm="1">
        <f t="array" ref="BC189">IFERROR(_xlfn.IFS($AB189="عدد الموظفين/الوحدة",X189*$AA189,$AB189='طريقة الحساب'!$B$2,X189*$AA189/الافتراضات!$B$27,$AB189='طريقة الحساب'!$B$3,X189*$AA189/الافتراضات!$B$26,$AB189='طريقة الحساب'!$B$4,X189*$AA189/الافتراضات!$B$28),"")</f>
        <v>0.22872963200144897</v>
      </c>
      <c r="BD189" s="91" cm="1">
        <f t="array" ref="BD189">IFERROR(_xlfn.IFS($AB189="عدد الموظفين/الوحدة",Y189*$AA189,$AB189='طريقة الحساب'!$B$2,Y189*$AA189/الافتراضات!$B$27,$AB189='طريقة الحساب'!$B$3,Y189*$AA189/الافتراضات!$B$26,$AB189='طريقة الحساب'!$B$4,Y189*$AA189/الافتراضات!$B$28),"")</f>
        <v>0.22872963200144897</v>
      </c>
      <c r="BE189" s="91" cm="1">
        <f t="array" ref="BE189">IFERROR(_xlfn.IFS($AB189="عدد الموظفين/الوحدة",Z189*$AA189,$AB189='طريقة الحساب'!$B$2,Z189*$AA189/الافتراضات!$B$27,$AB189='طريقة الحساب'!$B$3,Z189*$AA189/الافتراضات!$B$26,$AB189='طريقة الحساب'!$B$4,Z189*$AA189/الافتراضات!$B$28),"")</f>
        <v>0</v>
      </c>
      <c r="BF189" s="92"/>
    </row>
    <row r="190" spans="2:58" x14ac:dyDescent="0.35">
      <c r="B190" s="124" t="s">
        <v>87</v>
      </c>
      <c r="C190" s="131" t="s">
        <v>88</v>
      </c>
      <c r="D190" s="131" t="s">
        <v>90</v>
      </c>
      <c r="E190" s="138" t="s">
        <v>93</v>
      </c>
      <c r="F190" s="125" t="s">
        <v>242</v>
      </c>
      <c r="G190" s="126" t="s">
        <v>84</v>
      </c>
      <c r="H190" s="127"/>
      <c r="I190" s="132">
        <v>1100</v>
      </c>
      <c r="J190" s="133">
        <v>1100</v>
      </c>
      <c r="K190" s="133">
        <v>1100</v>
      </c>
      <c r="L190" s="133">
        <v>1100</v>
      </c>
      <c r="M190" s="133">
        <v>1100</v>
      </c>
      <c r="N190" s="133">
        <v>1100</v>
      </c>
      <c r="O190" s="133">
        <v>1100</v>
      </c>
      <c r="P190" s="139">
        <v>5</v>
      </c>
      <c r="Q190" s="134" t="s">
        <v>45</v>
      </c>
      <c r="R190" s="128"/>
      <c r="S190" s="135">
        <v>1100</v>
      </c>
      <c r="T190" s="135">
        <v>1100</v>
      </c>
      <c r="U190" s="135">
        <v>1100</v>
      </c>
      <c r="V190" s="135">
        <v>1100</v>
      </c>
      <c r="W190" s="135">
        <v>1100</v>
      </c>
      <c r="X190" s="135">
        <v>1100</v>
      </c>
      <c r="Y190" s="135">
        <v>1100</v>
      </c>
      <c r="Z190" s="79"/>
      <c r="AA190" s="135">
        <v>5</v>
      </c>
      <c r="AB190" s="136" t="s">
        <v>45</v>
      </c>
      <c r="AC190" s="80"/>
      <c r="AD190" s="81"/>
      <c r="AE190" s="82"/>
      <c r="AF190" s="82"/>
      <c r="AG190" s="82"/>
      <c r="AH190" s="82"/>
      <c r="AI190" s="82"/>
      <c r="AJ190" s="82"/>
      <c r="AK190" s="82"/>
      <c r="AL190" s="82"/>
      <c r="AM190" s="83"/>
      <c r="AN190" s="83"/>
      <c r="AO190" s="84" t="str">
        <f t="shared" si="6"/>
        <v>لا</v>
      </c>
      <c r="AP190" s="85" t="str">
        <f t="shared" si="5"/>
        <v/>
      </c>
      <c r="AQ190" s="84" t="str">
        <f t="shared" si="6"/>
        <v>لا</v>
      </c>
      <c r="AR190" s="85" t="str">
        <f t="shared" si="7"/>
        <v/>
      </c>
      <c r="AS190" s="86" t="str">
        <f t="shared" si="8"/>
        <v>لا</v>
      </c>
      <c r="AT190" s="87" t="str">
        <f t="shared" si="9"/>
        <v/>
      </c>
      <c r="AU190" s="88"/>
      <c r="AV190" s="89"/>
      <c r="AW190" s="90"/>
      <c r="AX190" s="91" cm="1">
        <f t="array" ref="AX190">IFERROR(_xlfn.IFS($AB190="عدد الموظفين/الوحدة",S190*$AA190,$AB190='طريقة الحساب'!$B$2,S190*$AA190/الافتراضات!$B$27,$AB190='طريقة الحساب'!$B$3,S190*$AA190/الافتراضات!$B$26,$AB190='طريقة الحساب'!$B$4,S190*$AA190/الافتراضات!$B$28),"")</f>
        <v>9.2500954118233031E-2</v>
      </c>
      <c r="AY190" s="91" cm="1">
        <f t="array" ref="AY190">IFERROR(_xlfn.IFS($AB190="عدد الموظفين/الوحدة",T190*$AA190,$AB190='طريقة الحساب'!$B$2,T190*$AA190/الافتراضات!$B$27,$AB190='طريقة الحساب'!$B$3,T190*$AA190/الافتراضات!$B$26,$AB190='طريقة الحساب'!$B$4,T190*$AA190/الافتراضات!$B$28),"")</f>
        <v>9.2500954118233031E-2</v>
      </c>
      <c r="AZ190" s="91" cm="1">
        <f t="array" ref="AZ190">IFERROR(_xlfn.IFS($AB190="عدد الموظفين/الوحدة",U190*$AA190,$AB190='طريقة الحساب'!$B$2,U190*$AA190/الافتراضات!$B$27,$AB190='طريقة الحساب'!$B$3,U190*$AA190/الافتراضات!$B$26,$AB190='طريقة الحساب'!$B$4,U190*$AA190/الافتراضات!$B$28),"")</f>
        <v>9.2500954118233031E-2</v>
      </c>
      <c r="BA190" s="91" cm="1">
        <f t="array" ref="BA190">IFERROR(_xlfn.IFS($AB190="عدد الموظفين/الوحدة",V190*$AA190,$AB190='طريقة الحساب'!$B$2,V190*$AA190/الافتراضات!$B$27,$AB190='طريقة الحساب'!$B$3,V190*$AA190/الافتراضات!$B$26,$AB190='طريقة الحساب'!$B$4,V190*$AA190/الافتراضات!$B$28),"")</f>
        <v>9.2500954118233031E-2</v>
      </c>
      <c r="BB190" s="91" cm="1">
        <f t="array" ref="BB190">IFERROR(_xlfn.IFS($AB190="عدد الموظفين/الوحدة",W190*$AA190,$AB190='طريقة الحساب'!$B$2,W190*$AA190/الافتراضات!$B$27,$AB190='طريقة الحساب'!$B$3,W190*$AA190/الافتراضات!$B$26,$AB190='طريقة الحساب'!$B$4,W190*$AA190/الافتراضات!$B$28),"")</f>
        <v>9.2500954118233031E-2</v>
      </c>
      <c r="BC190" s="91" cm="1">
        <f t="array" ref="BC190">IFERROR(_xlfn.IFS($AB190="عدد الموظفين/الوحدة",X190*$AA190,$AB190='طريقة الحساب'!$B$2,X190*$AA190/الافتراضات!$B$27,$AB190='طريقة الحساب'!$B$3,X190*$AA190/الافتراضات!$B$26,$AB190='طريقة الحساب'!$B$4,X190*$AA190/الافتراضات!$B$28),"")</f>
        <v>9.2500954118233031E-2</v>
      </c>
      <c r="BD190" s="91" cm="1">
        <f t="array" ref="BD190">IFERROR(_xlfn.IFS($AB190="عدد الموظفين/الوحدة",Y190*$AA190,$AB190='طريقة الحساب'!$B$2,Y190*$AA190/الافتراضات!$B$27,$AB190='طريقة الحساب'!$B$3,Y190*$AA190/الافتراضات!$B$26,$AB190='طريقة الحساب'!$B$4,Y190*$AA190/الافتراضات!$B$28),"")</f>
        <v>9.2500954118233031E-2</v>
      </c>
      <c r="BE190" s="91" cm="1">
        <f t="array" ref="BE190">IFERROR(_xlfn.IFS($AB190="عدد الموظفين/الوحدة",Z190*$AA190,$AB190='طريقة الحساب'!$B$2,Z190*$AA190/الافتراضات!$B$27,$AB190='طريقة الحساب'!$B$3,Z190*$AA190/الافتراضات!$B$26,$AB190='طريقة الحساب'!$B$4,Z190*$AA190/الافتراضات!$B$28),"")</f>
        <v>0</v>
      </c>
      <c r="BF190" s="92"/>
    </row>
    <row r="191" spans="2:58" x14ac:dyDescent="0.35">
      <c r="B191" s="124" t="s">
        <v>87</v>
      </c>
      <c r="C191" s="131" t="s">
        <v>88</v>
      </c>
      <c r="D191" s="131" t="s">
        <v>90</v>
      </c>
      <c r="E191" s="138" t="s">
        <v>93</v>
      </c>
      <c r="F191" s="125" t="s">
        <v>243</v>
      </c>
      <c r="G191" s="126" t="s">
        <v>84</v>
      </c>
      <c r="H191" s="127"/>
      <c r="I191" s="132">
        <v>2600</v>
      </c>
      <c r="J191" s="133">
        <v>2600</v>
      </c>
      <c r="K191" s="133">
        <v>2600</v>
      </c>
      <c r="L191" s="133">
        <v>2600</v>
      </c>
      <c r="M191" s="133">
        <v>2600</v>
      </c>
      <c r="N191" s="133">
        <v>2600</v>
      </c>
      <c r="O191" s="133">
        <v>2600</v>
      </c>
      <c r="P191" s="139">
        <v>20</v>
      </c>
      <c r="Q191" s="134" t="s">
        <v>45</v>
      </c>
      <c r="R191" s="128"/>
      <c r="S191" s="135">
        <v>2600</v>
      </c>
      <c r="T191" s="135">
        <v>2600</v>
      </c>
      <c r="U191" s="135">
        <v>2600</v>
      </c>
      <c r="V191" s="135">
        <v>2600</v>
      </c>
      <c r="W191" s="135">
        <v>2600</v>
      </c>
      <c r="X191" s="135">
        <v>2600</v>
      </c>
      <c r="Y191" s="135">
        <v>2600</v>
      </c>
      <c r="Z191" s="79"/>
      <c r="AA191" s="135">
        <v>20</v>
      </c>
      <c r="AB191" s="136" t="s">
        <v>45</v>
      </c>
      <c r="AC191" s="80"/>
      <c r="AD191" s="81"/>
      <c r="AE191" s="82"/>
      <c r="AF191" s="82"/>
      <c r="AG191" s="82"/>
      <c r="AH191" s="82"/>
      <c r="AI191" s="82"/>
      <c r="AJ191" s="82"/>
      <c r="AK191" s="82"/>
      <c r="AL191" s="82"/>
      <c r="AM191" s="83"/>
      <c r="AN191" s="83"/>
      <c r="AO191" s="84" t="str">
        <f t="shared" si="6"/>
        <v>لا</v>
      </c>
      <c r="AP191" s="85" t="str">
        <f t="shared" si="5"/>
        <v/>
      </c>
      <c r="AQ191" s="84" t="str">
        <f t="shared" si="6"/>
        <v>لا</v>
      </c>
      <c r="AR191" s="85" t="str">
        <f t="shared" si="7"/>
        <v/>
      </c>
      <c r="AS191" s="86" t="str">
        <f t="shared" si="8"/>
        <v>لا</v>
      </c>
      <c r="AT191" s="87" t="str">
        <f t="shared" si="9"/>
        <v/>
      </c>
      <c r="AU191" s="88"/>
      <c r="AV191" s="89"/>
      <c r="AW191" s="90"/>
      <c r="AX191" s="91" cm="1">
        <f t="array" ref="AX191">IFERROR(_xlfn.IFS($AB191="عدد الموظفين/الوحدة",S191*$AA191,$AB191='طريقة الحساب'!$B$2,S191*$AA191/الافتراضات!$B$27,$AB191='طريقة الحساب'!$B$3,S191*$AA191/الافتراضات!$B$26,$AB191='طريقة الحساب'!$B$4,S191*$AA191/الافتراضات!$B$28),"")</f>
        <v>0.8745544752996578</v>
      </c>
      <c r="AY191" s="91" cm="1">
        <f t="array" ref="AY191">IFERROR(_xlfn.IFS($AB191="عدد الموظفين/الوحدة",T191*$AA191,$AB191='طريقة الحساب'!$B$2,T191*$AA191/الافتراضات!$B$27,$AB191='طريقة الحساب'!$B$3,T191*$AA191/الافتراضات!$B$26,$AB191='طريقة الحساب'!$B$4,T191*$AA191/الافتراضات!$B$28),"")</f>
        <v>0.8745544752996578</v>
      </c>
      <c r="AZ191" s="91" cm="1">
        <f t="array" ref="AZ191">IFERROR(_xlfn.IFS($AB191="عدد الموظفين/الوحدة",U191*$AA191,$AB191='طريقة الحساب'!$B$2,U191*$AA191/الافتراضات!$B$27,$AB191='طريقة الحساب'!$B$3,U191*$AA191/الافتراضات!$B$26,$AB191='طريقة الحساب'!$B$4,U191*$AA191/الافتراضات!$B$28),"")</f>
        <v>0.8745544752996578</v>
      </c>
      <c r="BA191" s="91" cm="1">
        <f t="array" ref="BA191">IFERROR(_xlfn.IFS($AB191="عدد الموظفين/الوحدة",V191*$AA191,$AB191='طريقة الحساب'!$B$2,V191*$AA191/الافتراضات!$B$27,$AB191='طريقة الحساب'!$B$3,V191*$AA191/الافتراضات!$B$26,$AB191='طريقة الحساب'!$B$4,V191*$AA191/الافتراضات!$B$28),"")</f>
        <v>0.8745544752996578</v>
      </c>
      <c r="BB191" s="91" cm="1">
        <f t="array" ref="BB191">IFERROR(_xlfn.IFS($AB191="عدد الموظفين/الوحدة",W191*$AA191,$AB191='طريقة الحساب'!$B$2,W191*$AA191/الافتراضات!$B$27,$AB191='طريقة الحساب'!$B$3,W191*$AA191/الافتراضات!$B$26,$AB191='طريقة الحساب'!$B$4,W191*$AA191/الافتراضات!$B$28),"")</f>
        <v>0.8745544752996578</v>
      </c>
      <c r="BC191" s="91" cm="1">
        <f t="array" ref="BC191">IFERROR(_xlfn.IFS($AB191="عدد الموظفين/الوحدة",X191*$AA191,$AB191='طريقة الحساب'!$B$2,X191*$AA191/الافتراضات!$B$27,$AB191='طريقة الحساب'!$B$3,X191*$AA191/الافتراضات!$B$26,$AB191='طريقة الحساب'!$B$4,X191*$AA191/الافتراضات!$B$28),"")</f>
        <v>0.8745544752996578</v>
      </c>
      <c r="BD191" s="91" cm="1">
        <f t="array" ref="BD191">IFERROR(_xlfn.IFS($AB191="عدد الموظفين/الوحدة",Y191*$AA191,$AB191='طريقة الحساب'!$B$2,Y191*$AA191/الافتراضات!$B$27,$AB191='طريقة الحساب'!$B$3,Y191*$AA191/الافتراضات!$B$26,$AB191='طريقة الحساب'!$B$4,Y191*$AA191/الافتراضات!$B$28),"")</f>
        <v>0.8745544752996578</v>
      </c>
      <c r="BE191" s="91" cm="1">
        <f t="array" ref="BE191">IFERROR(_xlfn.IFS($AB191="عدد الموظفين/الوحدة",Z191*$AA191,$AB191='طريقة الحساب'!$B$2,Z191*$AA191/الافتراضات!$B$27,$AB191='طريقة الحساب'!$B$3,Z191*$AA191/الافتراضات!$B$26,$AB191='طريقة الحساب'!$B$4,Z191*$AA191/الافتراضات!$B$28),"")</f>
        <v>0</v>
      </c>
      <c r="BF191" s="92"/>
    </row>
    <row r="192" spans="2:58" x14ac:dyDescent="0.35">
      <c r="B192" s="124" t="s">
        <v>87</v>
      </c>
      <c r="C192" s="131" t="s">
        <v>88</v>
      </c>
      <c r="D192" s="131" t="s">
        <v>90</v>
      </c>
      <c r="E192" s="138" t="s">
        <v>93</v>
      </c>
      <c r="F192" s="125" t="s">
        <v>244</v>
      </c>
      <c r="G192" s="126" t="s">
        <v>84</v>
      </c>
      <c r="H192" s="127"/>
      <c r="I192" s="132">
        <v>2300</v>
      </c>
      <c r="J192" s="133">
        <v>2300</v>
      </c>
      <c r="K192" s="133">
        <v>2300</v>
      </c>
      <c r="L192" s="133">
        <v>2300</v>
      </c>
      <c r="M192" s="133">
        <v>2300</v>
      </c>
      <c r="N192" s="133">
        <v>2300</v>
      </c>
      <c r="O192" s="133">
        <v>2300</v>
      </c>
      <c r="P192" s="139">
        <v>20</v>
      </c>
      <c r="Q192" s="134" t="s">
        <v>45</v>
      </c>
      <c r="R192" s="128"/>
      <c r="S192" s="135">
        <v>2300</v>
      </c>
      <c r="T192" s="135">
        <v>2300</v>
      </c>
      <c r="U192" s="135">
        <v>2300</v>
      </c>
      <c r="V192" s="135">
        <v>2300</v>
      </c>
      <c r="W192" s="135">
        <v>2300</v>
      </c>
      <c r="X192" s="135">
        <v>2300</v>
      </c>
      <c r="Y192" s="135">
        <v>2300</v>
      </c>
      <c r="Z192" s="79"/>
      <c r="AA192" s="135">
        <v>20</v>
      </c>
      <c r="AB192" s="136" t="s">
        <v>45</v>
      </c>
      <c r="AC192" s="80"/>
      <c r="AD192" s="81"/>
      <c r="AE192" s="82"/>
      <c r="AF192" s="82"/>
      <c r="AG192" s="82"/>
      <c r="AH192" s="82"/>
      <c r="AI192" s="82"/>
      <c r="AJ192" s="82"/>
      <c r="AK192" s="82"/>
      <c r="AL192" s="82"/>
      <c r="AM192" s="83"/>
      <c r="AN192" s="83"/>
      <c r="AO192" s="84" t="str">
        <f t="shared" si="6"/>
        <v>لا</v>
      </c>
      <c r="AP192" s="85" t="str">
        <f t="shared" si="5"/>
        <v/>
      </c>
      <c r="AQ192" s="84" t="str">
        <f t="shared" si="6"/>
        <v>لا</v>
      </c>
      <c r="AR192" s="85" t="str">
        <f t="shared" si="7"/>
        <v/>
      </c>
      <c r="AS192" s="86" t="str">
        <f t="shared" si="8"/>
        <v>لا</v>
      </c>
      <c r="AT192" s="87" t="str">
        <f t="shared" si="9"/>
        <v/>
      </c>
      <c r="AU192" s="88"/>
      <c r="AV192" s="89"/>
      <c r="AW192" s="90"/>
      <c r="AX192" s="91" cm="1">
        <f t="array" ref="AX192">IFERROR(_xlfn.IFS($AB192="عدد الموظفين/الوحدة",S192*$AA192,$AB192='طريقة الحساب'!$B$2,S192*$AA192/الافتراضات!$B$27,$AB192='طريقة الحساب'!$B$3,S192*$AA192/الافتراضات!$B$26,$AB192='طريقة الحساب'!$B$4,S192*$AA192/الافتراضات!$B$28),"")</f>
        <v>0.77364434353431266</v>
      </c>
      <c r="AY192" s="91" cm="1">
        <f t="array" ref="AY192">IFERROR(_xlfn.IFS($AB192="عدد الموظفين/الوحدة",T192*$AA192,$AB192='طريقة الحساب'!$B$2,T192*$AA192/الافتراضات!$B$27,$AB192='طريقة الحساب'!$B$3,T192*$AA192/الافتراضات!$B$26,$AB192='طريقة الحساب'!$B$4,T192*$AA192/الافتراضات!$B$28),"")</f>
        <v>0.77364434353431266</v>
      </c>
      <c r="AZ192" s="91" cm="1">
        <f t="array" ref="AZ192">IFERROR(_xlfn.IFS($AB192="عدد الموظفين/الوحدة",U192*$AA192,$AB192='طريقة الحساب'!$B$2,U192*$AA192/الافتراضات!$B$27,$AB192='طريقة الحساب'!$B$3,U192*$AA192/الافتراضات!$B$26,$AB192='طريقة الحساب'!$B$4,U192*$AA192/الافتراضات!$B$28),"")</f>
        <v>0.77364434353431266</v>
      </c>
      <c r="BA192" s="91" cm="1">
        <f t="array" ref="BA192">IFERROR(_xlfn.IFS($AB192="عدد الموظفين/الوحدة",V192*$AA192,$AB192='طريقة الحساب'!$B$2,V192*$AA192/الافتراضات!$B$27,$AB192='طريقة الحساب'!$B$3,V192*$AA192/الافتراضات!$B$26,$AB192='طريقة الحساب'!$B$4,V192*$AA192/الافتراضات!$B$28),"")</f>
        <v>0.77364434353431266</v>
      </c>
      <c r="BB192" s="91" cm="1">
        <f t="array" ref="BB192">IFERROR(_xlfn.IFS($AB192="عدد الموظفين/الوحدة",W192*$AA192,$AB192='طريقة الحساب'!$B$2,W192*$AA192/الافتراضات!$B$27,$AB192='طريقة الحساب'!$B$3,W192*$AA192/الافتراضات!$B$26,$AB192='طريقة الحساب'!$B$4,W192*$AA192/الافتراضات!$B$28),"")</f>
        <v>0.77364434353431266</v>
      </c>
      <c r="BC192" s="91" cm="1">
        <f t="array" ref="BC192">IFERROR(_xlfn.IFS($AB192="عدد الموظفين/الوحدة",X192*$AA192,$AB192='طريقة الحساب'!$B$2,X192*$AA192/الافتراضات!$B$27,$AB192='طريقة الحساب'!$B$3,X192*$AA192/الافتراضات!$B$26,$AB192='طريقة الحساب'!$B$4,X192*$AA192/الافتراضات!$B$28),"")</f>
        <v>0.77364434353431266</v>
      </c>
      <c r="BD192" s="91" cm="1">
        <f t="array" ref="BD192">IFERROR(_xlfn.IFS($AB192="عدد الموظفين/الوحدة",Y192*$AA192,$AB192='طريقة الحساب'!$B$2,Y192*$AA192/الافتراضات!$B$27,$AB192='طريقة الحساب'!$B$3,Y192*$AA192/الافتراضات!$B$26,$AB192='طريقة الحساب'!$B$4,Y192*$AA192/الافتراضات!$B$28),"")</f>
        <v>0.77364434353431266</v>
      </c>
      <c r="BE192" s="91" cm="1">
        <f t="array" ref="BE192">IFERROR(_xlfn.IFS($AB192="عدد الموظفين/الوحدة",Z192*$AA192,$AB192='طريقة الحساب'!$B$2,Z192*$AA192/الافتراضات!$B$27,$AB192='طريقة الحساب'!$B$3,Z192*$AA192/الافتراضات!$B$26,$AB192='طريقة الحساب'!$B$4,Z192*$AA192/الافتراضات!$B$28),"")</f>
        <v>0</v>
      </c>
      <c r="BF192" s="92"/>
    </row>
    <row r="193" spans="2:58" x14ac:dyDescent="0.35">
      <c r="B193" s="124" t="s">
        <v>87</v>
      </c>
      <c r="C193" s="131" t="s">
        <v>88</v>
      </c>
      <c r="D193" s="131" t="s">
        <v>90</v>
      </c>
      <c r="E193" s="138" t="s">
        <v>93</v>
      </c>
      <c r="F193" s="125" t="s">
        <v>245</v>
      </c>
      <c r="G193" s="126" t="s">
        <v>84</v>
      </c>
      <c r="H193" s="127"/>
      <c r="I193" s="132">
        <v>1300</v>
      </c>
      <c r="J193" s="133">
        <v>1300</v>
      </c>
      <c r="K193" s="133">
        <v>1300</v>
      </c>
      <c r="L193" s="133">
        <v>1300</v>
      </c>
      <c r="M193" s="133">
        <v>1300</v>
      </c>
      <c r="N193" s="133">
        <v>1300</v>
      </c>
      <c r="O193" s="133">
        <v>1300</v>
      </c>
      <c r="P193" s="139">
        <v>2</v>
      </c>
      <c r="Q193" s="134" t="s">
        <v>32</v>
      </c>
      <c r="R193" s="128"/>
      <c r="S193" s="135">
        <v>1300</v>
      </c>
      <c r="T193" s="135">
        <v>1300</v>
      </c>
      <c r="U193" s="135">
        <v>1300</v>
      </c>
      <c r="V193" s="135">
        <v>1300</v>
      </c>
      <c r="W193" s="135">
        <v>1300</v>
      </c>
      <c r="X193" s="135">
        <v>1300</v>
      </c>
      <c r="Y193" s="135">
        <v>1300</v>
      </c>
      <c r="Z193" s="79"/>
      <c r="AA193" s="135">
        <v>2</v>
      </c>
      <c r="AB193" s="136" t="s">
        <v>32</v>
      </c>
      <c r="AC193" s="80"/>
      <c r="AD193" s="81"/>
      <c r="AE193" s="82"/>
      <c r="AF193" s="82"/>
      <c r="AG193" s="82"/>
      <c r="AH193" s="82"/>
      <c r="AI193" s="82"/>
      <c r="AJ193" s="82"/>
      <c r="AK193" s="82"/>
      <c r="AL193" s="82"/>
      <c r="AM193" s="83"/>
      <c r="AN193" s="83"/>
      <c r="AO193" s="84" t="str">
        <f t="shared" si="6"/>
        <v>لا</v>
      </c>
      <c r="AP193" s="85" t="str">
        <f t="shared" si="5"/>
        <v/>
      </c>
      <c r="AQ193" s="84" t="str">
        <f t="shared" si="6"/>
        <v>لا</v>
      </c>
      <c r="AR193" s="85" t="str">
        <f t="shared" si="7"/>
        <v/>
      </c>
      <c r="AS193" s="86" t="str">
        <f t="shared" si="8"/>
        <v>لا</v>
      </c>
      <c r="AT193" s="87" t="str">
        <f t="shared" si="9"/>
        <v/>
      </c>
      <c r="AU193" s="88"/>
      <c r="AV193" s="89"/>
      <c r="AW193" s="90"/>
      <c r="AX193" s="91" cm="1">
        <f t="array" ref="AX193">IFERROR(_xlfn.IFS($AB193="عدد الموظفين/الوحدة",S193*$AA193,$AB193='طريقة الحساب'!$B$2,S193*$AA193/الافتراضات!$B$27,$AB193='طريقة الحساب'!$B$3,S193*$AA193/الافتراضات!$B$26,$AB193='طريقة الحساب'!$B$4,S193*$AA193/الافتراضات!$B$28),"")</f>
        <v>2.6236634258989735</v>
      </c>
      <c r="AY193" s="91" cm="1">
        <f t="array" ref="AY193">IFERROR(_xlfn.IFS($AB193="عدد الموظفين/الوحدة",T193*$AA193,$AB193='طريقة الحساب'!$B$2,T193*$AA193/الافتراضات!$B$27,$AB193='طريقة الحساب'!$B$3,T193*$AA193/الافتراضات!$B$26,$AB193='طريقة الحساب'!$B$4,T193*$AA193/الافتراضات!$B$28),"")</f>
        <v>2.6236634258989735</v>
      </c>
      <c r="AZ193" s="91" cm="1">
        <f t="array" ref="AZ193">IFERROR(_xlfn.IFS($AB193="عدد الموظفين/الوحدة",U193*$AA193,$AB193='طريقة الحساب'!$B$2,U193*$AA193/الافتراضات!$B$27,$AB193='طريقة الحساب'!$B$3,U193*$AA193/الافتراضات!$B$26,$AB193='طريقة الحساب'!$B$4,U193*$AA193/الافتراضات!$B$28),"")</f>
        <v>2.6236634258989735</v>
      </c>
      <c r="BA193" s="91" cm="1">
        <f t="array" ref="BA193">IFERROR(_xlfn.IFS($AB193="عدد الموظفين/الوحدة",V193*$AA193,$AB193='طريقة الحساب'!$B$2,V193*$AA193/الافتراضات!$B$27,$AB193='طريقة الحساب'!$B$3,V193*$AA193/الافتراضات!$B$26,$AB193='طريقة الحساب'!$B$4,V193*$AA193/الافتراضات!$B$28),"")</f>
        <v>2.6236634258989735</v>
      </c>
      <c r="BB193" s="91" cm="1">
        <f t="array" ref="BB193">IFERROR(_xlfn.IFS($AB193="عدد الموظفين/الوحدة",W193*$AA193,$AB193='طريقة الحساب'!$B$2,W193*$AA193/الافتراضات!$B$27,$AB193='طريقة الحساب'!$B$3,W193*$AA193/الافتراضات!$B$26,$AB193='طريقة الحساب'!$B$4,W193*$AA193/الافتراضات!$B$28),"")</f>
        <v>2.6236634258989735</v>
      </c>
      <c r="BC193" s="91" cm="1">
        <f t="array" ref="BC193">IFERROR(_xlfn.IFS($AB193="عدد الموظفين/الوحدة",X193*$AA193,$AB193='طريقة الحساب'!$B$2,X193*$AA193/الافتراضات!$B$27,$AB193='طريقة الحساب'!$B$3,X193*$AA193/الافتراضات!$B$26,$AB193='طريقة الحساب'!$B$4,X193*$AA193/الافتراضات!$B$28),"")</f>
        <v>2.6236634258989735</v>
      </c>
      <c r="BD193" s="91" cm="1">
        <f t="array" ref="BD193">IFERROR(_xlfn.IFS($AB193="عدد الموظفين/الوحدة",Y193*$AA193,$AB193='طريقة الحساب'!$B$2,Y193*$AA193/الافتراضات!$B$27,$AB193='طريقة الحساب'!$B$3,Y193*$AA193/الافتراضات!$B$26,$AB193='طريقة الحساب'!$B$4,Y193*$AA193/الافتراضات!$B$28),"")</f>
        <v>2.6236634258989735</v>
      </c>
      <c r="BE193" s="91" cm="1">
        <f t="array" ref="BE193">IFERROR(_xlfn.IFS($AB193="عدد الموظفين/الوحدة",Z193*$AA193,$AB193='طريقة الحساب'!$B$2,Z193*$AA193/الافتراضات!$B$27,$AB193='طريقة الحساب'!$B$3,Z193*$AA193/الافتراضات!$B$26,$AB193='طريقة الحساب'!$B$4,Z193*$AA193/الافتراضات!$B$28),"")</f>
        <v>0</v>
      </c>
      <c r="BF193" s="92"/>
    </row>
    <row r="194" spans="2:58" x14ac:dyDescent="0.35">
      <c r="B194" s="124" t="s">
        <v>87</v>
      </c>
      <c r="C194" s="131" t="s">
        <v>88</v>
      </c>
      <c r="D194" s="131" t="s">
        <v>90</v>
      </c>
      <c r="E194" s="138" t="s">
        <v>93</v>
      </c>
      <c r="F194" s="125" t="s">
        <v>246</v>
      </c>
      <c r="G194" s="126" t="s">
        <v>84</v>
      </c>
      <c r="H194" s="127"/>
      <c r="I194" s="132">
        <v>1150</v>
      </c>
      <c r="J194" s="133">
        <v>1150</v>
      </c>
      <c r="K194" s="133">
        <v>1150</v>
      </c>
      <c r="L194" s="133">
        <v>1150</v>
      </c>
      <c r="M194" s="133">
        <v>1150</v>
      </c>
      <c r="N194" s="133">
        <v>1150</v>
      </c>
      <c r="O194" s="133">
        <v>1150</v>
      </c>
      <c r="P194" s="139">
        <v>10</v>
      </c>
      <c r="Q194" s="134" t="s">
        <v>45</v>
      </c>
      <c r="R194" s="128"/>
      <c r="S194" s="135">
        <v>1150</v>
      </c>
      <c r="T194" s="135">
        <v>1150</v>
      </c>
      <c r="U194" s="135">
        <v>1150</v>
      </c>
      <c r="V194" s="135">
        <v>1150</v>
      </c>
      <c r="W194" s="135">
        <v>1150</v>
      </c>
      <c r="X194" s="135">
        <v>1150</v>
      </c>
      <c r="Y194" s="135">
        <v>1150</v>
      </c>
      <c r="Z194" s="79"/>
      <c r="AA194" s="135">
        <v>10</v>
      </c>
      <c r="AB194" s="136" t="s">
        <v>45</v>
      </c>
      <c r="AC194" s="80"/>
      <c r="AD194" s="81"/>
      <c r="AE194" s="82"/>
      <c r="AF194" s="82"/>
      <c r="AG194" s="82"/>
      <c r="AH194" s="82"/>
      <c r="AI194" s="82"/>
      <c r="AJ194" s="82"/>
      <c r="AK194" s="82"/>
      <c r="AL194" s="82"/>
      <c r="AM194" s="83"/>
      <c r="AN194" s="83"/>
      <c r="AO194" s="84" t="str">
        <f t="shared" si="6"/>
        <v>لا</v>
      </c>
      <c r="AP194" s="85" t="str">
        <f t="shared" si="5"/>
        <v/>
      </c>
      <c r="AQ194" s="84" t="str">
        <f t="shared" si="6"/>
        <v>لا</v>
      </c>
      <c r="AR194" s="85" t="str">
        <f t="shared" si="7"/>
        <v/>
      </c>
      <c r="AS194" s="86" t="str">
        <f t="shared" si="8"/>
        <v>لا</v>
      </c>
      <c r="AT194" s="87" t="str">
        <f t="shared" si="9"/>
        <v/>
      </c>
      <c r="AU194" s="88"/>
      <c r="AV194" s="89"/>
      <c r="AW194" s="90"/>
      <c r="AX194" s="91" cm="1">
        <f t="array" ref="AX194">IFERROR(_xlfn.IFS($AB194="عدد الموظفين/الوحدة",S194*$AA194,$AB194='طريقة الحساب'!$B$2,S194*$AA194/الافتراضات!$B$27,$AB194='طريقة الحساب'!$B$3,S194*$AA194/الافتراضات!$B$26,$AB194='طريقة الحساب'!$B$4,S194*$AA194/الافتراضات!$B$28),"")</f>
        <v>0.19341108588357817</v>
      </c>
      <c r="AY194" s="91" cm="1">
        <f t="array" ref="AY194">IFERROR(_xlfn.IFS($AB194="عدد الموظفين/الوحدة",T194*$AA194,$AB194='طريقة الحساب'!$B$2,T194*$AA194/الافتراضات!$B$27,$AB194='طريقة الحساب'!$B$3,T194*$AA194/الافتراضات!$B$26,$AB194='طريقة الحساب'!$B$4,T194*$AA194/الافتراضات!$B$28),"")</f>
        <v>0.19341108588357817</v>
      </c>
      <c r="AZ194" s="91" cm="1">
        <f t="array" ref="AZ194">IFERROR(_xlfn.IFS($AB194="عدد الموظفين/الوحدة",U194*$AA194,$AB194='طريقة الحساب'!$B$2,U194*$AA194/الافتراضات!$B$27,$AB194='طريقة الحساب'!$B$3,U194*$AA194/الافتراضات!$B$26,$AB194='طريقة الحساب'!$B$4,U194*$AA194/الافتراضات!$B$28),"")</f>
        <v>0.19341108588357817</v>
      </c>
      <c r="BA194" s="91" cm="1">
        <f t="array" ref="BA194">IFERROR(_xlfn.IFS($AB194="عدد الموظفين/الوحدة",V194*$AA194,$AB194='طريقة الحساب'!$B$2,V194*$AA194/الافتراضات!$B$27,$AB194='طريقة الحساب'!$B$3,V194*$AA194/الافتراضات!$B$26,$AB194='طريقة الحساب'!$B$4,V194*$AA194/الافتراضات!$B$28),"")</f>
        <v>0.19341108588357817</v>
      </c>
      <c r="BB194" s="91" cm="1">
        <f t="array" ref="BB194">IFERROR(_xlfn.IFS($AB194="عدد الموظفين/الوحدة",W194*$AA194,$AB194='طريقة الحساب'!$B$2,W194*$AA194/الافتراضات!$B$27,$AB194='طريقة الحساب'!$B$3,W194*$AA194/الافتراضات!$B$26,$AB194='طريقة الحساب'!$B$4,W194*$AA194/الافتراضات!$B$28),"")</f>
        <v>0.19341108588357817</v>
      </c>
      <c r="BC194" s="91" cm="1">
        <f t="array" ref="BC194">IFERROR(_xlfn.IFS($AB194="عدد الموظفين/الوحدة",X194*$AA194,$AB194='طريقة الحساب'!$B$2,X194*$AA194/الافتراضات!$B$27,$AB194='طريقة الحساب'!$B$3,X194*$AA194/الافتراضات!$B$26,$AB194='طريقة الحساب'!$B$4,X194*$AA194/الافتراضات!$B$28),"")</f>
        <v>0.19341108588357817</v>
      </c>
      <c r="BD194" s="91" cm="1">
        <f t="array" ref="BD194">IFERROR(_xlfn.IFS($AB194="عدد الموظفين/الوحدة",Y194*$AA194,$AB194='طريقة الحساب'!$B$2,Y194*$AA194/الافتراضات!$B$27,$AB194='طريقة الحساب'!$B$3,Y194*$AA194/الافتراضات!$B$26,$AB194='طريقة الحساب'!$B$4,Y194*$AA194/الافتراضات!$B$28),"")</f>
        <v>0.19341108588357817</v>
      </c>
      <c r="BE194" s="91" cm="1">
        <f t="array" ref="BE194">IFERROR(_xlfn.IFS($AB194="عدد الموظفين/الوحدة",Z194*$AA194,$AB194='طريقة الحساب'!$B$2,Z194*$AA194/الافتراضات!$B$27,$AB194='طريقة الحساب'!$B$3,Z194*$AA194/الافتراضات!$B$26,$AB194='طريقة الحساب'!$B$4,Z194*$AA194/الافتراضات!$B$28),"")</f>
        <v>0</v>
      </c>
      <c r="BF194" s="92"/>
    </row>
    <row r="195" spans="2:58" x14ac:dyDescent="0.35">
      <c r="B195" s="124" t="s">
        <v>87</v>
      </c>
      <c r="C195" s="131" t="s">
        <v>88</v>
      </c>
      <c r="D195" s="131" t="s">
        <v>90</v>
      </c>
      <c r="E195" s="138" t="s">
        <v>93</v>
      </c>
      <c r="F195" s="125" t="s">
        <v>247</v>
      </c>
      <c r="G195" s="126" t="s">
        <v>84</v>
      </c>
      <c r="H195" s="127"/>
      <c r="I195" s="132">
        <v>800</v>
      </c>
      <c r="J195" s="133">
        <v>800</v>
      </c>
      <c r="K195" s="133">
        <v>800</v>
      </c>
      <c r="L195" s="133">
        <v>800</v>
      </c>
      <c r="M195" s="133">
        <v>800</v>
      </c>
      <c r="N195" s="133">
        <v>800</v>
      </c>
      <c r="O195" s="133">
        <v>800</v>
      </c>
      <c r="P195" s="139">
        <v>20</v>
      </c>
      <c r="Q195" s="134" t="s">
        <v>45</v>
      </c>
      <c r="R195" s="128"/>
      <c r="S195" s="135">
        <v>800</v>
      </c>
      <c r="T195" s="135">
        <v>800</v>
      </c>
      <c r="U195" s="135">
        <v>800</v>
      </c>
      <c r="V195" s="135">
        <v>800</v>
      </c>
      <c r="W195" s="135">
        <v>800</v>
      </c>
      <c r="X195" s="135">
        <v>800</v>
      </c>
      <c r="Y195" s="135">
        <v>800</v>
      </c>
      <c r="Z195" s="79"/>
      <c r="AA195" s="135">
        <v>20</v>
      </c>
      <c r="AB195" s="136" t="s">
        <v>45</v>
      </c>
      <c r="AC195" s="80"/>
      <c r="AD195" s="81"/>
      <c r="AE195" s="82"/>
      <c r="AF195" s="82"/>
      <c r="AG195" s="82"/>
      <c r="AH195" s="82"/>
      <c r="AI195" s="82"/>
      <c r="AJ195" s="82"/>
      <c r="AK195" s="82"/>
      <c r="AL195" s="82"/>
      <c r="AM195" s="83"/>
      <c r="AN195" s="83"/>
      <c r="AO195" s="84" t="str">
        <f t="shared" si="6"/>
        <v>لا</v>
      </c>
      <c r="AP195" s="85" t="str">
        <f t="shared" si="5"/>
        <v/>
      </c>
      <c r="AQ195" s="84" t="str">
        <f t="shared" si="6"/>
        <v>لا</v>
      </c>
      <c r="AR195" s="85" t="str">
        <f t="shared" si="7"/>
        <v/>
      </c>
      <c r="AS195" s="86" t="str">
        <f t="shared" si="8"/>
        <v>لا</v>
      </c>
      <c r="AT195" s="87" t="str">
        <f t="shared" si="9"/>
        <v/>
      </c>
      <c r="AU195" s="88"/>
      <c r="AV195" s="89"/>
      <c r="AW195" s="90"/>
      <c r="AX195" s="91" cm="1">
        <f t="array" ref="AX195">IFERROR(_xlfn.IFS($AB195="عدد الموظفين/الوحدة",S195*$AA195,$AB195='طريقة الحساب'!$B$2,S195*$AA195/الافتراضات!$B$27,$AB195='طريقة الحساب'!$B$3,S195*$AA195/الافتراضات!$B$26,$AB195='طريقة الحساب'!$B$4,S195*$AA195/الافتراضات!$B$28),"")</f>
        <v>0.26909368470758699</v>
      </c>
      <c r="AY195" s="91" cm="1">
        <f t="array" ref="AY195">IFERROR(_xlfn.IFS($AB195="عدد الموظفين/الوحدة",T195*$AA195,$AB195='طريقة الحساب'!$B$2,T195*$AA195/الافتراضات!$B$27,$AB195='طريقة الحساب'!$B$3,T195*$AA195/الافتراضات!$B$26,$AB195='طريقة الحساب'!$B$4,T195*$AA195/الافتراضات!$B$28),"")</f>
        <v>0.26909368470758699</v>
      </c>
      <c r="AZ195" s="91" cm="1">
        <f t="array" ref="AZ195">IFERROR(_xlfn.IFS($AB195="عدد الموظفين/الوحدة",U195*$AA195,$AB195='طريقة الحساب'!$B$2,U195*$AA195/الافتراضات!$B$27,$AB195='طريقة الحساب'!$B$3,U195*$AA195/الافتراضات!$B$26,$AB195='طريقة الحساب'!$B$4,U195*$AA195/الافتراضات!$B$28),"")</f>
        <v>0.26909368470758699</v>
      </c>
      <c r="BA195" s="91" cm="1">
        <f t="array" ref="BA195">IFERROR(_xlfn.IFS($AB195="عدد الموظفين/الوحدة",V195*$AA195,$AB195='طريقة الحساب'!$B$2,V195*$AA195/الافتراضات!$B$27,$AB195='طريقة الحساب'!$B$3,V195*$AA195/الافتراضات!$B$26,$AB195='طريقة الحساب'!$B$4,V195*$AA195/الافتراضات!$B$28),"")</f>
        <v>0.26909368470758699</v>
      </c>
      <c r="BB195" s="91" cm="1">
        <f t="array" ref="BB195">IFERROR(_xlfn.IFS($AB195="عدد الموظفين/الوحدة",W195*$AA195,$AB195='طريقة الحساب'!$B$2,W195*$AA195/الافتراضات!$B$27,$AB195='طريقة الحساب'!$B$3,W195*$AA195/الافتراضات!$B$26,$AB195='طريقة الحساب'!$B$4,W195*$AA195/الافتراضات!$B$28),"")</f>
        <v>0.26909368470758699</v>
      </c>
      <c r="BC195" s="91" cm="1">
        <f t="array" ref="BC195">IFERROR(_xlfn.IFS($AB195="عدد الموظفين/الوحدة",X195*$AA195,$AB195='طريقة الحساب'!$B$2,X195*$AA195/الافتراضات!$B$27,$AB195='طريقة الحساب'!$B$3,X195*$AA195/الافتراضات!$B$26,$AB195='طريقة الحساب'!$B$4,X195*$AA195/الافتراضات!$B$28),"")</f>
        <v>0.26909368470758699</v>
      </c>
      <c r="BD195" s="91" cm="1">
        <f t="array" ref="BD195">IFERROR(_xlfn.IFS($AB195="عدد الموظفين/الوحدة",Y195*$AA195,$AB195='طريقة الحساب'!$B$2,Y195*$AA195/الافتراضات!$B$27,$AB195='طريقة الحساب'!$B$3,Y195*$AA195/الافتراضات!$B$26,$AB195='طريقة الحساب'!$B$4,Y195*$AA195/الافتراضات!$B$28),"")</f>
        <v>0.26909368470758699</v>
      </c>
      <c r="BE195" s="91" cm="1">
        <f t="array" ref="BE195">IFERROR(_xlfn.IFS($AB195="عدد الموظفين/الوحدة",Z195*$AA195,$AB195='طريقة الحساب'!$B$2,Z195*$AA195/الافتراضات!$B$27,$AB195='طريقة الحساب'!$B$3,Z195*$AA195/الافتراضات!$B$26,$AB195='طريقة الحساب'!$B$4,Z195*$AA195/الافتراضات!$B$28),"")</f>
        <v>0</v>
      </c>
      <c r="BF195" s="92"/>
    </row>
    <row r="196" spans="2:58" x14ac:dyDescent="0.35">
      <c r="B196" s="124" t="s">
        <v>87</v>
      </c>
      <c r="C196" s="131" t="s">
        <v>88</v>
      </c>
      <c r="D196" s="131" t="s">
        <v>90</v>
      </c>
      <c r="E196" s="138" t="s">
        <v>93</v>
      </c>
      <c r="F196" s="125" t="s">
        <v>248</v>
      </c>
      <c r="G196" s="126" t="s">
        <v>84</v>
      </c>
      <c r="H196" s="127"/>
      <c r="I196" s="132">
        <v>1000</v>
      </c>
      <c r="J196" s="133">
        <v>1000</v>
      </c>
      <c r="K196" s="133">
        <v>1000</v>
      </c>
      <c r="L196" s="133">
        <v>1000</v>
      </c>
      <c r="M196" s="133">
        <v>1000</v>
      </c>
      <c r="N196" s="133">
        <v>1000</v>
      </c>
      <c r="O196" s="133">
        <v>1000</v>
      </c>
      <c r="P196" s="139">
        <v>20</v>
      </c>
      <c r="Q196" s="134" t="s">
        <v>45</v>
      </c>
      <c r="R196" s="128"/>
      <c r="S196" s="135">
        <v>1000</v>
      </c>
      <c r="T196" s="135">
        <v>1000</v>
      </c>
      <c r="U196" s="135">
        <v>1000</v>
      </c>
      <c r="V196" s="135">
        <v>1000</v>
      </c>
      <c r="W196" s="135">
        <v>1000</v>
      </c>
      <c r="X196" s="135">
        <v>1000</v>
      </c>
      <c r="Y196" s="135">
        <v>1000</v>
      </c>
      <c r="Z196" s="79"/>
      <c r="AA196" s="135">
        <v>20</v>
      </c>
      <c r="AB196" s="136" t="s">
        <v>45</v>
      </c>
      <c r="AC196" s="80"/>
      <c r="AD196" s="81"/>
      <c r="AE196" s="82"/>
      <c r="AF196" s="82"/>
      <c r="AG196" s="82"/>
      <c r="AH196" s="82"/>
      <c r="AI196" s="82"/>
      <c r="AJ196" s="82"/>
      <c r="AK196" s="82"/>
      <c r="AL196" s="82"/>
      <c r="AM196" s="83"/>
      <c r="AN196" s="83"/>
      <c r="AO196" s="84" t="str">
        <f t="shared" si="6"/>
        <v>لا</v>
      </c>
      <c r="AP196" s="85" t="str">
        <f t="shared" si="5"/>
        <v/>
      </c>
      <c r="AQ196" s="84" t="str">
        <f t="shared" si="6"/>
        <v>لا</v>
      </c>
      <c r="AR196" s="85" t="str">
        <f t="shared" si="7"/>
        <v/>
      </c>
      <c r="AS196" s="86" t="str">
        <f t="shared" si="8"/>
        <v>لا</v>
      </c>
      <c r="AT196" s="87" t="str">
        <f t="shared" si="9"/>
        <v/>
      </c>
      <c r="AU196" s="88"/>
      <c r="AV196" s="89"/>
      <c r="AW196" s="90"/>
      <c r="AX196" s="91" cm="1">
        <f t="array" ref="AX196">IFERROR(_xlfn.IFS($AB196="عدد الموظفين/الوحدة",S196*$AA196,$AB196='طريقة الحساب'!$B$2,S196*$AA196/الافتراضات!$B$27,$AB196='طريقة الحساب'!$B$3,S196*$AA196/الافتراضات!$B$26,$AB196='طريقة الحساب'!$B$4,S196*$AA196/الافتراضات!$B$28),"")</f>
        <v>0.33636710588448376</v>
      </c>
      <c r="AY196" s="91" cm="1">
        <f t="array" ref="AY196">IFERROR(_xlfn.IFS($AB196="عدد الموظفين/الوحدة",T196*$AA196,$AB196='طريقة الحساب'!$B$2,T196*$AA196/الافتراضات!$B$27,$AB196='طريقة الحساب'!$B$3,T196*$AA196/الافتراضات!$B$26,$AB196='طريقة الحساب'!$B$4,T196*$AA196/الافتراضات!$B$28),"")</f>
        <v>0.33636710588448376</v>
      </c>
      <c r="AZ196" s="91" cm="1">
        <f t="array" ref="AZ196">IFERROR(_xlfn.IFS($AB196="عدد الموظفين/الوحدة",U196*$AA196,$AB196='طريقة الحساب'!$B$2,U196*$AA196/الافتراضات!$B$27,$AB196='طريقة الحساب'!$B$3,U196*$AA196/الافتراضات!$B$26,$AB196='طريقة الحساب'!$B$4,U196*$AA196/الافتراضات!$B$28),"")</f>
        <v>0.33636710588448376</v>
      </c>
      <c r="BA196" s="91" cm="1">
        <f t="array" ref="BA196">IFERROR(_xlfn.IFS($AB196="عدد الموظفين/الوحدة",V196*$AA196,$AB196='طريقة الحساب'!$B$2,V196*$AA196/الافتراضات!$B$27,$AB196='طريقة الحساب'!$B$3,V196*$AA196/الافتراضات!$B$26,$AB196='طريقة الحساب'!$B$4,V196*$AA196/الافتراضات!$B$28),"")</f>
        <v>0.33636710588448376</v>
      </c>
      <c r="BB196" s="91" cm="1">
        <f t="array" ref="BB196">IFERROR(_xlfn.IFS($AB196="عدد الموظفين/الوحدة",W196*$AA196,$AB196='طريقة الحساب'!$B$2,W196*$AA196/الافتراضات!$B$27,$AB196='طريقة الحساب'!$B$3,W196*$AA196/الافتراضات!$B$26,$AB196='طريقة الحساب'!$B$4,W196*$AA196/الافتراضات!$B$28),"")</f>
        <v>0.33636710588448376</v>
      </c>
      <c r="BC196" s="91" cm="1">
        <f t="array" ref="BC196">IFERROR(_xlfn.IFS($AB196="عدد الموظفين/الوحدة",X196*$AA196,$AB196='طريقة الحساب'!$B$2,X196*$AA196/الافتراضات!$B$27,$AB196='طريقة الحساب'!$B$3,X196*$AA196/الافتراضات!$B$26,$AB196='طريقة الحساب'!$B$4,X196*$AA196/الافتراضات!$B$28),"")</f>
        <v>0.33636710588448376</v>
      </c>
      <c r="BD196" s="91" cm="1">
        <f t="array" ref="BD196">IFERROR(_xlfn.IFS($AB196="عدد الموظفين/الوحدة",Y196*$AA196,$AB196='طريقة الحساب'!$B$2,Y196*$AA196/الافتراضات!$B$27,$AB196='طريقة الحساب'!$B$3,Y196*$AA196/الافتراضات!$B$26,$AB196='طريقة الحساب'!$B$4,Y196*$AA196/الافتراضات!$B$28),"")</f>
        <v>0.33636710588448376</v>
      </c>
      <c r="BE196" s="91" cm="1">
        <f t="array" ref="BE196">IFERROR(_xlfn.IFS($AB196="عدد الموظفين/الوحدة",Z196*$AA196,$AB196='طريقة الحساب'!$B$2,Z196*$AA196/الافتراضات!$B$27,$AB196='طريقة الحساب'!$B$3,Z196*$AA196/الافتراضات!$B$26,$AB196='طريقة الحساب'!$B$4,Z196*$AA196/الافتراضات!$B$28),"")</f>
        <v>0</v>
      </c>
      <c r="BF196" s="92"/>
    </row>
    <row r="197" spans="2:58" x14ac:dyDescent="0.35">
      <c r="B197" s="124" t="s">
        <v>87</v>
      </c>
      <c r="C197" s="131" t="s">
        <v>88</v>
      </c>
      <c r="D197" s="131" t="s">
        <v>90</v>
      </c>
      <c r="E197" s="138" t="s">
        <v>93</v>
      </c>
      <c r="F197" s="125" t="s">
        <v>249</v>
      </c>
      <c r="G197" s="126" t="s">
        <v>84</v>
      </c>
      <c r="H197" s="127"/>
      <c r="I197" s="132">
        <v>800</v>
      </c>
      <c r="J197" s="133">
        <v>800</v>
      </c>
      <c r="K197" s="133">
        <v>800</v>
      </c>
      <c r="L197" s="133">
        <v>800</v>
      </c>
      <c r="M197" s="133">
        <v>800</v>
      </c>
      <c r="N197" s="133">
        <v>800</v>
      </c>
      <c r="O197" s="133">
        <v>800</v>
      </c>
      <c r="P197" s="139">
        <v>1.3</v>
      </c>
      <c r="Q197" s="134" t="s">
        <v>32</v>
      </c>
      <c r="R197" s="128"/>
      <c r="S197" s="135">
        <v>800</v>
      </c>
      <c r="T197" s="135">
        <v>800</v>
      </c>
      <c r="U197" s="135">
        <v>800</v>
      </c>
      <c r="V197" s="135">
        <v>800</v>
      </c>
      <c r="W197" s="135">
        <v>800</v>
      </c>
      <c r="X197" s="135">
        <v>800</v>
      </c>
      <c r="Y197" s="135">
        <v>800</v>
      </c>
      <c r="Z197" s="79"/>
      <c r="AA197" s="135">
        <v>1.3</v>
      </c>
      <c r="AB197" s="136" t="s">
        <v>32</v>
      </c>
      <c r="AC197" s="80"/>
      <c r="AD197" s="81"/>
      <c r="AE197" s="82"/>
      <c r="AF197" s="82"/>
      <c r="AG197" s="82"/>
      <c r="AH197" s="82"/>
      <c r="AI197" s="82"/>
      <c r="AJ197" s="82"/>
      <c r="AK197" s="82"/>
      <c r="AL197" s="82"/>
      <c r="AM197" s="83"/>
      <c r="AN197" s="83"/>
      <c r="AO197" s="84" t="str">
        <f t="shared" si="6"/>
        <v>لا</v>
      </c>
      <c r="AP197" s="85" t="str">
        <f t="shared" si="5"/>
        <v/>
      </c>
      <c r="AQ197" s="84" t="str">
        <f t="shared" si="6"/>
        <v>لا</v>
      </c>
      <c r="AR197" s="85" t="str">
        <f t="shared" si="7"/>
        <v/>
      </c>
      <c r="AS197" s="86" t="str">
        <f t="shared" si="8"/>
        <v>لا</v>
      </c>
      <c r="AT197" s="87" t="str">
        <f t="shared" si="9"/>
        <v/>
      </c>
      <c r="AU197" s="88"/>
      <c r="AV197" s="89"/>
      <c r="AW197" s="90"/>
      <c r="AX197" s="91" cm="1">
        <f t="array" ref="AX197">IFERROR(_xlfn.IFS($AB197="عدد الموظفين/الوحدة",S197*$AA197,$AB197='طريقة الحساب'!$B$2,S197*$AA197/الافتراضات!$B$27,$AB197='طريقة الحساب'!$B$3,S197*$AA197/الافتراضات!$B$26,$AB197='طريقة الحساب'!$B$4,S197*$AA197/الافتراضات!$B$28),"")</f>
        <v>1.0494653703595893</v>
      </c>
      <c r="AY197" s="91" cm="1">
        <f t="array" ref="AY197">IFERROR(_xlfn.IFS($AB197="عدد الموظفين/الوحدة",T197*$AA197,$AB197='طريقة الحساب'!$B$2,T197*$AA197/الافتراضات!$B$27,$AB197='طريقة الحساب'!$B$3,T197*$AA197/الافتراضات!$B$26,$AB197='طريقة الحساب'!$B$4,T197*$AA197/الافتراضات!$B$28),"")</f>
        <v>1.0494653703595893</v>
      </c>
      <c r="AZ197" s="91" cm="1">
        <f t="array" ref="AZ197">IFERROR(_xlfn.IFS($AB197="عدد الموظفين/الوحدة",U197*$AA197,$AB197='طريقة الحساب'!$B$2,U197*$AA197/الافتراضات!$B$27,$AB197='طريقة الحساب'!$B$3,U197*$AA197/الافتراضات!$B$26,$AB197='طريقة الحساب'!$B$4,U197*$AA197/الافتراضات!$B$28),"")</f>
        <v>1.0494653703595893</v>
      </c>
      <c r="BA197" s="91" cm="1">
        <f t="array" ref="BA197">IFERROR(_xlfn.IFS($AB197="عدد الموظفين/الوحدة",V197*$AA197,$AB197='طريقة الحساب'!$B$2,V197*$AA197/الافتراضات!$B$27,$AB197='طريقة الحساب'!$B$3,V197*$AA197/الافتراضات!$B$26,$AB197='طريقة الحساب'!$B$4,V197*$AA197/الافتراضات!$B$28),"")</f>
        <v>1.0494653703595893</v>
      </c>
      <c r="BB197" s="91" cm="1">
        <f t="array" ref="BB197">IFERROR(_xlfn.IFS($AB197="عدد الموظفين/الوحدة",W197*$AA197,$AB197='طريقة الحساب'!$B$2,W197*$AA197/الافتراضات!$B$27,$AB197='طريقة الحساب'!$B$3,W197*$AA197/الافتراضات!$B$26,$AB197='طريقة الحساب'!$B$4,W197*$AA197/الافتراضات!$B$28),"")</f>
        <v>1.0494653703595893</v>
      </c>
      <c r="BC197" s="91" cm="1">
        <f t="array" ref="BC197">IFERROR(_xlfn.IFS($AB197="عدد الموظفين/الوحدة",X197*$AA197,$AB197='طريقة الحساب'!$B$2,X197*$AA197/الافتراضات!$B$27,$AB197='طريقة الحساب'!$B$3,X197*$AA197/الافتراضات!$B$26,$AB197='طريقة الحساب'!$B$4,X197*$AA197/الافتراضات!$B$28),"")</f>
        <v>1.0494653703595893</v>
      </c>
      <c r="BD197" s="91" cm="1">
        <f t="array" ref="BD197">IFERROR(_xlfn.IFS($AB197="عدد الموظفين/الوحدة",Y197*$AA197,$AB197='طريقة الحساب'!$B$2,Y197*$AA197/الافتراضات!$B$27,$AB197='طريقة الحساب'!$B$3,Y197*$AA197/الافتراضات!$B$26,$AB197='طريقة الحساب'!$B$4,Y197*$AA197/الافتراضات!$B$28),"")</f>
        <v>1.0494653703595893</v>
      </c>
      <c r="BE197" s="91" cm="1">
        <f t="array" ref="BE197">IFERROR(_xlfn.IFS($AB197="عدد الموظفين/الوحدة",Z197*$AA197,$AB197='طريقة الحساب'!$B$2,Z197*$AA197/الافتراضات!$B$27,$AB197='طريقة الحساب'!$B$3,Z197*$AA197/الافتراضات!$B$26,$AB197='طريقة الحساب'!$B$4,Z197*$AA197/الافتراضات!$B$28),"")</f>
        <v>0</v>
      </c>
      <c r="BF197" s="92"/>
    </row>
    <row r="198" spans="2:58" x14ac:dyDescent="0.35">
      <c r="B198" s="124" t="s">
        <v>87</v>
      </c>
      <c r="C198" s="131" t="s">
        <v>88</v>
      </c>
      <c r="D198" s="131" t="s">
        <v>90</v>
      </c>
      <c r="E198" s="138" t="s">
        <v>93</v>
      </c>
      <c r="F198" s="125" t="s">
        <v>250</v>
      </c>
      <c r="G198" s="126" t="s">
        <v>84</v>
      </c>
      <c r="H198" s="127"/>
      <c r="I198" s="132">
        <v>1650</v>
      </c>
      <c r="J198" s="133">
        <v>1650</v>
      </c>
      <c r="K198" s="133">
        <v>1650</v>
      </c>
      <c r="L198" s="133">
        <v>1650</v>
      </c>
      <c r="M198" s="133">
        <v>1650</v>
      </c>
      <c r="N198" s="133">
        <v>1650</v>
      </c>
      <c r="O198" s="133">
        <v>1650</v>
      </c>
      <c r="P198" s="139">
        <v>40</v>
      </c>
      <c r="Q198" s="134" t="s">
        <v>45</v>
      </c>
      <c r="R198" s="128"/>
      <c r="S198" s="135">
        <v>1650</v>
      </c>
      <c r="T198" s="135">
        <v>1650</v>
      </c>
      <c r="U198" s="135">
        <v>1650</v>
      </c>
      <c r="V198" s="135">
        <v>1650</v>
      </c>
      <c r="W198" s="135">
        <v>1650</v>
      </c>
      <c r="X198" s="135">
        <v>1650</v>
      </c>
      <c r="Y198" s="135">
        <v>1650</v>
      </c>
      <c r="Z198" s="79"/>
      <c r="AA198" s="135">
        <v>40</v>
      </c>
      <c r="AB198" s="136" t="s">
        <v>45</v>
      </c>
      <c r="AC198" s="80"/>
      <c r="AD198" s="81"/>
      <c r="AE198" s="82"/>
      <c r="AF198" s="82"/>
      <c r="AG198" s="82"/>
      <c r="AH198" s="82"/>
      <c r="AI198" s="82"/>
      <c r="AJ198" s="82"/>
      <c r="AK198" s="82"/>
      <c r="AL198" s="82"/>
      <c r="AM198" s="83"/>
      <c r="AN198" s="83"/>
      <c r="AO198" s="84" t="str">
        <f t="shared" si="6"/>
        <v>لا</v>
      </c>
      <c r="AP198" s="85" t="str">
        <f t="shared" si="5"/>
        <v/>
      </c>
      <c r="AQ198" s="84" t="str">
        <f t="shared" si="6"/>
        <v>لا</v>
      </c>
      <c r="AR198" s="85" t="str">
        <f t="shared" si="7"/>
        <v/>
      </c>
      <c r="AS198" s="86" t="str">
        <f t="shared" si="8"/>
        <v>لا</v>
      </c>
      <c r="AT198" s="87" t="str">
        <f t="shared" si="9"/>
        <v/>
      </c>
      <c r="AU198" s="88"/>
      <c r="AV198" s="89"/>
      <c r="AW198" s="90"/>
      <c r="AX198" s="91" cm="1">
        <f t="array" ref="AX198">IFERROR(_xlfn.IFS($AB198="عدد الموظفين/الوحدة",S198*$AA198,$AB198='طريقة الحساب'!$B$2,S198*$AA198/الافتراضات!$B$27,$AB198='طريقة الحساب'!$B$3,S198*$AA198/الافتراضات!$B$26,$AB198='طريقة الحساب'!$B$4,S198*$AA198/الافتراضات!$B$28),"")</f>
        <v>1.1100114494187965</v>
      </c>
      <c r="AY198" s="91" cm="1">
        <f t="array" ref="AY198">IFERROR(_xlfn.IFS($AB198="عدد الموظفين/الوحدة",T198*$AA198,$AB198='طريقة الحساب'!$B$2,T198*$AA198/الافتراضات!$B$27,$AB198='طريقة الحساب'!$B$3,T198*$AA198/الافتراضات!$B$26,$AB198='طريقة الحساب'!$B$4,T198*$AA198/الافتراضات!$B$28),"")</f>
        <v>1.1100114494187965</v>
      </c>
      <c r="AZ198" s="91" cm="1">
        <f t="array" ref="AZ198">IFERROR(_xlfn.IFS($AB198="عدد الموظفين/الوحدة",U198*$AA198,$AB198='طريقة الحساب'!$B$2,U198*$AA198/الافتراضات!$B$27,$AB198='طريقة الحساب'!$B$3,U198*$AA198/الافتراضات!$B$26,$AB198='طريقة الحساب'!$B$4,U198*$AA198/الافتراضات!$B$28),"")</f>
        <v>1.1100114494187965</v>
      </c>
      <c r="BA198" s="91" cm="1">
        <f t="array" ref="BA198">IFERROR(_xlfn.IFS($AB198="عدد الموظفين/الوحدة",V198*$AA198,$AB198='طريقة الحساب'!$B$2,V198*$AA198/الافتراضات!$B$27,$AB198='طريقة الحساب'!$B$3,V198*$AA198/الافتراضات!$B$26,$AB198='طريقة الحساب'!$B$4,V198*$AA198/الافتراضات!$B$28),"")</f>
        <v>1.1100114494187965</v>
      </c>
      <c r="BB198" s="91" cm="1">
        <f t="array" ref="BB198">IFERROR(_xlfn.IFS($AB198="عدد الموظفين/الوحدة",W198*$AA198,$AB198='طريقة الحساب'!$B$2,W198*$AA198/الافتراضات!$B$27,$AB198='طريقة الحساب'!$B$3,W198*$AA198/الافتراضات!$B$26,$AB198='طريقة الحساب'!$B$4,W198*$AA198/الافتراضات!$B$28),"")</f>
        <v>1.1100114494187965</v>
      </c>
      <c r="BC198" s="91" cm="1">
        <f t="array" ref="BC198">IFERROR(_xlfn.IFS($AB198="عدد الموظفين/الوحدة",X198*$AA198,$AB198='طريقة الحساب'!$B$2,X198*$AA198/الافتراضات!$B$27,$AB198='طريقة الحساب'!$B$3,X198*$AA198/الافتراضات!$B$26,$AB198='طريقة الحساب'!$B$4,X198*$AA198/الافتراضات!$B$28),"")</f>
        <v>1.1100114494187965</v>
      </c>
      <c r="BD198" s="91" cm="1">
        <f t="array" ref="BD198">IFERROR(_xlfn.IFS($AB198="عدد الموظفين/الوحدة",Y198*$AA198,$AB198='طريقة الحساب'!$B$2,Y198*$AA198/الافتراضات!$B$27,$AB198='طريقة الحساب'!$B$3,Y198*$AA198/الافتراضات!$B$26,$AB198='طريقة الحساب'!$B$4,Y198*$AA198/الافتراضات!$B$28),"")</f>
        <v>1.1100114494187965</v>
      </c>
      <c r="BE198" s="91" cm="1">
        <f t="array" ref="BE198">IFERROR(_xlfn.IFS($AB198="عدد الموظفين/الوحدة",Z198*$AA198,$AB198='طريقة الحساب'!$B$2,Z198*$AA198/الافتراضات!$B$27,$AB198='طريقة الحساب'!$B$3,Z198*$AA198/الافتراضات!$B$26,$AB198='طريقة الحساب'!$B$4,Z198*$AA198/الافتراضات!$B$28),"")</f>
        <v>0</v>
      </c>
      <c r="BF198" s="92"/>
    </row>
    <row r="199" spans="2:58" x14ac:dyDescent="0.35">
      <c r="B199" s="124" t="s">
        <v>87</v>
      </c>
      <c r="C199" s="131" t="s">
        <v>88</v>
      </c>
      <c r="D199" s="131" t="s">
        <v>90</v>
      </c>
      <c r="E199" s="138" t="s">
        <v>93</v>
      </c>
      <c r="F199" s="125" t="s">
        <v>251</v>
      </c>
      <c r="G199" s="126" t="s">
        <v>84</v>
      </c>
      <c r="H199" s="127"/>
      <c r="I199" s="132">
        <v>1350</v>
      </c>
      <c r="J199" s="133">
        <v>1350</v>
      </c>
      <c r="K199" s="133">
        <v>1350</v>
      </c>
      <c r="L199" s="133">
        <v>1350</v>
      </c>
      <c r="M199" s="133">
        <v>1350</v>
      </c>
      <c r="N199" s="133">
        <v>1350</v>
      </c>
      <c r="O199" s="133">
        <v>1350</v>
      </c>
      <c r="P199" s="139">
        <v>40</v>
      </c>
      <c r="Q199" s="134" t="s">
        <v>45</v>
      </c>
      <c r="R199" s="128"/>
      <c r="S199" s="135">
        <v>1350</v>
      </c>
      <c r="T199" s="135">
        <v>1350</v>
      </c>
      <c r="U199" s="135">
        <v>1350</v>
      </c>
      <c r="V199" s="135">
        <v>1350</v>
      </c>
      <c r="W199" s="135">
        <v>1350</v>
      </c>
      <c r="X199" s="135">
        <v>1350</v>
      </c>
      <c r="Y199" s="135">
        <v>1350</v>
      </c>
      <c r="Z199" s="79"/>
      <c r="AA199" s="135">
        <v>40</v>
      </c>
      <c r="AB199" s="136" t="s">
        <v>45</v>
      </c>
      <c r="AC199" s="80"/>
      <c r="AD199" s="81"/>
      <c r="AE199" s="82"/>
      <c r="AF199" s="82"/>
      <c r="AG199" s="82"/>
      <c r="AH199" s="82"/>
      <c r="AI199" s="82"/>
      <c r="AJ199" s="82"/>
      <c r="AK199" s="82"/>
      <c r="AL199" s="82"/>
      <c r="AM199" s="83"/>
      <c r="AN199" s="83"/>
      <c r="AO199" s="84" t="str">
        <f t="shared" si="6"/>
        <v>لا</v>
      </c>
      <c r="AP199" s="85" t="str">
        <f t="shared" si="5"/>
        <v/>
      </c>
      <c r="AQ199" s="84" t="str">
        <f t="shared" si="6"/>
        <v>لا</v>
      </c>
      <c r="AR199" s="85" t="str">
        <f t="shared" si="7"/>
        <v/>
      </c>
      <c r="AS199" s="86" t="str">
        <f t="shared" si="8"/>
        <v>لا</v>
      </c>
      <c r="AT199" s="87" t="str">
        <f t="shared" si="9"/>
        <v/>
      </c>
      <c r="AU199" s="88"/>
      <c r="AV199" s="89"/>
      <c r="AW199" s="90"/>
      <c r="AX199" s="91" cm="1">
        <f t="array" ref="AX199">IFERROR(_xlfn.IFS($AB199="عدد الموظفين/الوحدة",S199*$AA199,$AB199='طريقة الحساب'!$B$2,S199*$AA199/الافتراضات!$B$27,$AB199='طريقة الحساب'!$B$3,S199*$AA199/الافتراضات!$B$26,$AB199='طريقة الحساب'!$B$4,S199*$AA199/الافتراضات!$B$28),"")</f>
        <v>0.9081911858881061</v>
      </c>
      <c r="AY199" s="91" cm="1">
        <f t="array" ref="AY199">IFERROR(_xlfn.IFS($AB199="عدد الموظفين/الوحدة",T199*$AA199,$AB199='طريقة الحساب'!$B$2,T199*$AA199/الافتراضات!$B$27,$AB199='طريقة الحساب'!$B$3,T199*$AA199/الافتراضات!$B$26,$AB199='طريقة الحساب'!$B$4,T199*$AA199/الافتراضات!$B$28),"")</f>
        <v>0.9081911858881061</v>
      </c>
      <c r="AZ199" s="91" cm="1">
        <f t="array" ref="AZ199">IFERROR(_xlfn.IFS($AB199="عدد الموظفين/الوحدة",U199*$AA199,$AB199='طريقة الحساب'!$B$2,U199*$AA199/الافتراضات!$B$27,$AB199='طريقة الحساب'!$B$3,U199*$AA199/الافتراضات!$B$26,$AB199='طريقة الحساب'!$B$4,U199*$AA199/الافتراضات!$B$28),"")</f>
        <v>0.9081911858881061</v>
      </c>
      <c r="BA199" s="91" cm="1">
        <f t="array" ref="BA199">IFERROR(_xlfn.IFS($AB199="عدد الموظفين/الوحدة",V199*$AA199,$AB199='طريقة الحساب'!$B$2,V199*$AA199/الافتراضات!$B$27,$AB199='طريقة الحساب'!$B$3,V199*$AA199/الافتراضات!$B$26,$AB199='طريقة الحساب'!$B$4,V199*$AA199/الافتراضات!$B$28),"")</f>
        <v>0.9081911858881061</v>
      </c>
      <c r="BB199" s="91" cm="1">
        <f t="array" ref="BB199">IFERROR(_xlfn.IFS($AB199="عدد الموظفين/الوحدة",W199*$AA199,$AB199='طريقة الحساب'!$B$2,W199*$AA199/الافتراضات!$B$27,$AB199='طريقة الحساب'!$B$3,W199*$AA199/الافتراضات!$B$26,$AB199='طريقة الحساب'!$B$4,W199*$AA199/الافتراضات!$B$28),"")</f>
        <v>0.9081911858881061</v>
      </c>
      <c r="BC199" s="91" cm="1">
        <f t="array" ref="BC199">IFERROR(_xlfn.IFS($AB199="عدد الموظفين/الوحدة",X199*$AA199,$AB199='طريقة الحساب'!$B$2,X199*$AA199/الافتراضات!$B$27,$AB199='طريقة الحساب'!$B$3,X199*$AA199/الافتراضات!$B$26,$AB199='طريقة الحساب'!$B$4,X199*$AA199/الافتراضات!$B$28),"")</f>
        <v>0.9081911858881061</v>
      </c>
      <c r="BD199" s="91" cm="1">
        <f t="array" ref="BD199">IFERROR(_xlfn.IFS($AB199="عدد الموظفين/الوحدة",Y199*$AA199,$AB199='طريقة الحساب'!$B$2,Y199*$AA199/الافتراضات!$B$27,$AB199='طريقة الحساب'!$B$3,Y199*$AA199/الافتراضات!$B$26,$AB199='طريقة الحساب'!$B$4,Y199*$AA199/الافتراضات!$B$28),"")</f>
        <v>0.9081911858881061</v>
      </c>
      <c r="BE199" s="91" cm="1">
        <f t="array" ref="BE199">IFERROR(_xlfn.IFS($AB199="عدد الموظفين/الوحدة",Z199*$AA199,$AB199='طريقة الحساب'!$B$2,Z199*$AA199/الافتراضات!$B$27,$AB199='طريقة الحساب'!$B$3,Z199*$AA199/الافتراضات!$B$26,$AB199='طريقة الحساب'!$B$4,Z199*$AA199/الافتراضات!$B$28),"")</f>
        <v>0</v>
      </c>
      <c r="BF199" s="92"/>
    </row>
    <row r="200" spans="2:58" x14ac:dyDescent="0.35">
      <c r="B200" s="124" t="s">
        <v>87</v>
      </c>
      <c r="C200" s="131" t="s">
        <v>88</v>
      </c>
      <c r="D200" s="131" t="s">
        <v>90</v>
      </c>
      <c r="E200" s="138" t="s">
        <v>93</v>
      </c>
      <c r="F200" s="125" t="s">
        <v>252</v>
      </c>
      <c r="G200" s="126" t="s">
        <v>84</v>
      </c>
      <c r="H200" s="127"/>
      <c r="I200" s="132">
        <v>1340</v>
      </c>
      <c r="J200" s="133">
        <v>1340</v>
      </c>
      <c r="K200" s="133">
        <v>1340</v>
      </c>
      <c r="L200" s="133">
        <v>1340</v>
      </c>
      <c r="M200" s="133">
        <v>1340</v>
      </c>
      <c r="N200" s="133">
        <v>1340</v>
      </c>
      <c r="O200" s="133">
        <v>1340</v>
      </c>
      <c r="P200" s="139">
        <v>25</v>
      </c>
      <c r="Q200" s="134" t="s">
        <v>45</v>
      </c>
      <c r="R200" s="128"/>
      <c r="S200" s="135">
        <v>1340</v>
      </c>
      <c r="T200" s="135">
        <v>1340</v>
      </c>
      <c r="U200" s="135">
        <v>1340</v>
      </c>
      <c r="V200" s="135">
        <v>1340</v>
      </c>
      <c r="W200" s="135">
        <v>1340</v>
      </c>
      <c r="X200" s="135">
        <v>1340</v>
      </c>
      <c r="Y200" s="135">
        <v>1340</v>
      </c>
      <c r="Z200" s="79"/>
      <c r="AA200" s="135">
        <v>25</v>
      </c>
      <c r="AB200" s="136" t="s">
        <v>45</v>
      </c>
      <c r="AC200" s="80"/>
      <c r="AD200" s="81"/>
      <c r="AE200" s="82"/>
      <c r="AF200" s="82"/>
      <c r="AG200" s="82"/>
      <c r="AH200" s="82"/>
      <c r="AI200" s="82"/>
      <c r="AJ200" s="82"/>
      <c r="AK200" s="82"/>
      <c r="AL200" s="82"/>
      <c r="AM200" s="83"/>
      <c r="AN200" s="83"/>
      <c r="AO200" s="84" t="str">
        <f t="shared" si="6"/>
        <v>لا</v>
      </c>
      <c r="AP200" s="85" t="str">
        <f t="shared" si="5"/>
        <v/>
      </c>
      <c r="AQ200" s="84" t="str">
        <f t="shared" si="6"/>
        <v>لا</v>
      </c>
      <c r="AR200" s="85" t="str">
        <f t="shared" si="7"/>
        <v/>
      </c>
      <c r="AS200" s="86" t="str">
        <f t="shared" si="8"/>
        <v>لا</v>
      </c>
      <c r="AT200" s="87" t="str">
        <f t="shared" si="9"/>
        <v/>
      </c>
      <c r="AU200" s="88"/>
      <c r="AV200" s="89"/>
      <c r="AW200" s="90"/>
      <c r="AX200" s="91" cm="1">
        <f t="array" ref="AX200">IFERROR(_xlfn.IFS($AB200="عدد الموظفين/الوحدة",S200*$AA200,$AB200='طريقة الحساب'!$B$2,S200*$AA200/الافتراضات!$B$27,$AB200='طريقة الحساب'!$B$3,S200*$AA200/الافتراضات!$B$26,$AB200='طريقة الحساب'!$B$4,S200*$AA200/الافتراضات!$B$28),"")</f>
        <v>0.56341490235651026</v>
      </c>
      <c r="AY200" s="91" cm="1">
        <f t="array" ref="AY200">IFERROR(_xlfn.IFS($AB200="عدد الموظفين/الوحدة",T200*$AA200,$AB200='طريقة الحساب'!$B$2,T200*$AA200/الافتراضات!$B$27,$AB200='طريقة الحساب'!$B$3,T200*$AA200/الافتراضات!$B$26,$AB200='طريقة الحساب'!$B$4,T200*$AA200/الافتراضات!$B$28),"")</f>
        <v>0.56341490235651026</v>
      </c>
      <c r="AZ200" s="91" cm="1">
        <f t="array" ref="AZ200">IFERROR(_xlfn.IFS($AB200="عدد الموظفين/الوحدة",U200*$AA200,$AB200='طريقة الحساب'!$B$2,U200*$AA200/الافتراضات!$B$27,$AB200='طريقة الحساب'!$B$3,U200*$AA200/الافتراضات!$B$26,$AB200='طريقة الحساب'!$B$4,U200*$AA200/الافتراضات!$B$28),"")</f>
        <v>0.56341490235651026</v>
      </c>
      <c r="BA200" s="91" cm="1">
        <f t="array" ref="BA200">IFERROR(_xlfn.IFS($AB200="عدد الموظفين/الوحدة",V200*$AA200,$AB200='طريقة الحساب'!$B$2,V200*$AA200/الافتراضات!$B$27,$AB200='طريقة الحساب'!$B$3,V200*$AA200/الافتراضات!$B$26,$AB200='طريقة الحساب'!$B$4,V200*$AA200/الافتراضات!$B$28),"")</f>
        <v>0.56341490235651026</v>
      </c>
      <c r="BB200" s="91" cm="1">
        <f t="array" ref="BB200">IFERROR(_xlfn.IFS($AB200="عدد الموظفين/الوحدة",W200*$AA200,$AB200='طريقة الحساب'!$B$2,W200*$AA200/الافتراضات!$B$27,$AB200='طريقة الحساب'!$B$3,W200*$AA200/الافتراضات!$B$26,$AB200='طريقة الحساب'!$B$4,W200*$AA200/الافتراضات!$B$28),"")</f>
        <v>0.56341490235651026</v>
      </c>
      <c r="BC200" s="91" cm="1">
        <f t="array" ref="BC200">IFERROR(_xlfn.IFS($AB200="عدد الموظفين/الوحدة",X200*$AA200,$AB200='طريقة الحساب'!$B$2,X200*$AA200/الافتراضات!$B$27,$AB200='طريقة الحساب'!$B$3,X200*$AA200/الافتراضات!$B$26,$AB200='طريقة الحساب'!$B$4,X200*$AA200/الافتراضات!$B$28),"")</f>
        <v>0.56341490235651026</v>
      </c>
      <c r="BD200" s="91" cm="1">
        <f t="array" ref="BD200">IFERROR(_xlfn.IFS($AB200="عدد الموظفين/الوحدة",Y200*$AA200,$AB200='طريقة الحساب'!$B$2,Y200*$AA200/الافتراضات!$B$27,$AB200='طريقة الحساب'!$B$3,Y200*$AA200/الافتراضات!$B$26,$AB200='طريقة الحساب'!$B$4,Y200*$AA200/الافتراضات!$B$28),"")</f>
        <v>0.56341490235651026</v>
      </c>
      <c r="BE200" s="91" cm="1">
        <f t="array" ref="BE200">IFERROR(_xlfn.IFS($AB200="عدد الموظفين/الوحدة",Z200*$AA200,$AB200='طريقة الحساب'!$B$2,Z200*$AA200/الافتراضات!$B$27,$AB200='طريقة الحساب'!$B$3,Z200*$AA200/الافتراضات!$B$26,$AB200='طريقة الحساب'!$B$4,Z200*$AA200/الافتراضات!$B$28),"")</f>
        <v>0</v>
      </c>
      <c r="BF200" s="92"/>
    </row>
    <row r="201" spans="2:58" x14ac:dyDescent="0.35">
      <c r="B201" s="124" t="s">
        <v>87</v>
      </c>
      <c r="C201" s="131" t="s">
        <v>88</v>
      </c>
      <c r="D201" s="131" t="s">
        <v>90</v>
      </c>
      <c r="E201" s="138" t="s">
        <v>93</v>
      </c>
      <c r="F201" s="125" t="s">
        <v>253</v>
      </c>
      <c r="G201" s="126" t="s">
        <v>84</v>
      </c>
      <c r="H201" s="127"/>
      <c r="I201" s="132">
        <v>1850</v>
      </c>
      <c r="J201" s="133">
        <v>1850</v>
      </c>
      <c r="K201" s="133">
        <v>1850</v>
      </c>
      <c r="L201" s="133">
        <v>1850</v>
      </c>
      <c r="M201" s="133">
        <v>1850</v>
      </c>
      <c r="N201" s="133">
        <v>1850</v>
      </c>
      <c r="O201" s="133">
        <v>1850</v>
      </c>
      <c r="P201" s="139">
        <v>35</v>
      </c>
      <c r="Q201" s="134" t="s">
        <v>45</v>
      </c>
      <c r="R201" s="128"/>
      <c r="S201" s="135">
        <v>1850</v>
      </c>
      <c r="T201" s="135">
        <v>1850</v>
      </c>
      <c r="U201" s="135">
        <v>1850</v>
      </c>
      <c r="V201" s="135">
        <v>1850</v>
      </c>
      <c r="W201" s="135">
        <v>1850</v>
      </c>
      <c r="X201" s="135">
        <v>1850</v>
      </c>
      <c r="Y201" s="135">
        <v>1850</v>
      </c>
      <c r="Z201" s="79"/>
      <c r="AA201" s="135">
        <v>35</v>
      </c>
      <c r="AB201" s="136" t="s">
        <v>45</v>
      </c>
      <c r="AC201" s="80"/>
      <c r="AD201" s="81"/>
      <c r="AE201" s="82"/>
      <c r="AF201" s="82"/>
      <c r="AG201" s="82"/>
      <c r="AH201" s="82"/>
      <c r="AI201" s="82"/>
      <c r="AJ201" s="82"/>
      <c r="AK201" s="82"/>
      <c r="AL201" s="82"/>
      <c r="AM201" s="83"/>
      <c r="AN201" s="83"/>
      <c r="AO201" s="84" t="str">
        <f t="shared" si="6"/>
        <v>لا</v>
      </c>
      <c r="AP201" s="85" t="str">
        <f t="shared" si="5"/>
        <v/>
      </c>
      <c r="AQ201" s="84" t="str">
        <f t="shared" si="6"/>
        <v>لا</v>
      </c>
      <c r="AR201" s="85" t="str">
        <f t="shared" si="7"/>
        <v/>
      </c>
      <c r="AS201" s="86" t="str">
        <f t="shared" si="8"/>
        <v>لا</v>
      </c>
      <c r="AT201" s="87" t="str">
        <f t="shared" si="9"/>
        <v/>
      </c>
      <c r="AU201" s="88"/>
      <c r="AV201" s="89"/>
      <c r="AW201" s="90"/>
      <c r="AX201" s="91" cm="1">
        <f t="array" ref="AX201">IFERROR(_xlfn.IFS($AB201="عدد الموظفين/الوحدة",S201*$AA201,$AB201='طريقة الحساب'!$B$2,S201*$AA201/الافتراضات!$B$27,$AB201='طريقة الحساب'!$B$3,S201*$AA201/الافتراضات!$B$26,$AB201='طريقة الحساب'!$B$4,S201*$AA201/الافتراضات!$B$28),"")</f>
        <v>1.0889885053010162</v>
      </c>
      <c r="AY201" s="91" cm="1">
        <f t="array" ref="AY201">IFERROR(_xlfn.IFS($AB201="عدد الموظفين/الوحدة",T201*$AA201,$AB201='طريقة الحساب'!$B$2,T201*$AA201/الافتراضات!$B$27,$AB201='طريقة الحساب'!$B$3,T201*$AA201/الافتراضات!$B$26,$AB201='طريقة الحساب'!$B$4,T201*$AA201/الافتراضات!$B$28),"")</f>
        <v>1.0889885053010162</v>
      </c>
      <c r="AZ201" s="91" cm="1">
        <f t="array" ref="AZ201">IFERROR(_xlfn.IFS($AB201="عدد الموظفين/الوحدة",U201*$AA201,$AB201='طريقة الحساب'!$B$2,U201*$AA201/الافتراضات!$B$27,$AB201='طريقة الحساب'!$B$3,U201*$AA201/الافتراضات!$B$26,$AB201='طريقة الحساب'!$B$4,U201*$AA201/الافتراضات!$B$28),"")</f>
        <v>1.0889885053010162</v>
      </c>
      <c r="BA201" s="91" cm="1">
        <f t="array" ref="BA201">IFERROR(_xlfn.IFS($AB201="عدد الموظفين/الوحدة",V201*$AA201,$AB201='طريقة الحساب'!$B$2,V201*$AA201/الافتراضات!$B$27,$AB201='طريقة الحساب'!$B$3,V201*$AA201/الافتراضات!$B$26,$AB201='طريقة الحساب'!$B$4,V201*$AA201/الافتراضات!$B$28),"")</f>
        <v>1.0889885053010162</v>
      </c>
      <c r="BB201" s="91" cm="1">
        <f t="array" ref="BB201">IFERROR(_xlfn.IFS($AB201="عدد الموظفين/الوحدة",W201*$AA201,$AB201='طريقة الحساب'!$B$2,W201*$AA201/الافتراضات!$B$27,$AB201='طريقة الحساب'!$B$3,W201*$AA201/الافتراضات!$B$26,$AB201='طريقة الحساب'!$B$4,W201*$AA201/الافتراضات!$B$28),"")</f>
        <v>1.0889885053010162</v>
      </c>
      <c r="BC201" s="91" cm="1">
        <f t="array" ref="BC201">IFERROR(_xlfn.IFS($AB201="عدد الموظفين/الوحدة",X201*$AA201,$AB201='طريقة الحساب'!$B$2,X201*$AA201/الافتراضات!$B$27,$AB201='طريقة الحساب'!$B$3,X201*$AA201/الافتراضات!$B$26,$AB201='طريقة الحساب'!$B$4,X201*$AA201/الافتراضات!$B$28),"")</f>
        <v>1.0889885053010162</v>
      </c>
      <c r="BD201" s="91" cm="1">
        <f t="array" ref="BD201">IFERROR(_xlfn.IFS($AB201="عدد الموظفين/الوحدة",Y201*$AA201,$AB201='طريقة الحساب'!$B$2,Y201*$AA201/الافتراضات!$B$27,$AB201='طريقة الحساب'!$B$3,Y201*$AA201/الافتراضات!$B$26,$AB201='طريقة الحساب'!$B$4,Y201*$AA201/الافتراضات!$B$28),"")</f>
        <v>1.0889885053010162</v>
      </c>
      <c r="BE201" s="91" cm="1">
        <f t="array" ref="BE201">IFERROR(_xlfn.IFS($AB201="عدد الموظفين/الوحدة",Z201*$AA201,$AB201='طريقة الحساب'!$B$2,Z201*$AA201/الافتراضات!$B$27,$AB201='طريقة الحساب'!$B$3,Z201*$AA201/الافتراضات!$B$26,$AB201='طريقة الحساب'!$B$4,Z201*$AA201/الافتراضات!$B$28),"")</f>
        <v>0</v>
      </c>
      <c r="BF201" s="92"/>
    </row>
    <row r="202" spans="2:58" x14ac:dyDescent="0.35">
      <c r="B202" s="124" t="s">
        <v>87</v>
      </c>
      <c r="C202" s="131" t="s">
        <v>88</v>
      </c>
      <c r="D202" s="131" t="s">
        <v>90</v>
      </c>
      <c r="E202" s="138" t="s">
        <v>93</v>
      </c>
      <c r="F202" s="125" t="s">
        <v>254</v>
      </c>
      <c r="G202" s="126" t="s">
        <v>84</v>
      </c>
      <c r="H202" s="127"/>
      <c r="I202" s="132">
        <v>1650</v>
      </c>
      <c r="J202" s="133">
        <v>1650</v>
      </c>
      <c r="K202" s="133">
        <v>1650</v>
      </c>
      <c r="L202" s="133">
        <v>1650</v>
      </c>
      <c r="M202" s="133">
        <v>1650</v>
      </c>
      <c r="N202" s="133">
        <v>1650</v>
      </c>
      <c r="O202" s="133">
        <v>1650</v>
      </c>
      <c r="P202" s="139">
        <v>60</v>
      </c>
      <c r="Q202" s="134" t="s">
        <v>45</v>
      </c>
      <c r="R202" s="128"/>
      <c r="S202" s="135">
        <v>1650</v>
      </c>
      <c r="T202" s="135">
        <v>1650</v>
      </c>
      <c r="U202" s="135">
        <v>1650</v>
      </c>
      <c r="V202" s="135">
        <v>1650</v>
      </c>
      <c r="W202" s="135">
        <v>1650</v>
      </c>
      <c r="X202" s="135">
        <v>1650</v>
      </c>
      <c r="Y202" s="135">
        <v>1650</v>
      </c>
      <c r="Z202" s="79"/>
      <c r="AA202" s="135">
        <v>60</v>
      </c>
      <c r="AB202" s="136" t="s">
        <v>45</v>
      </c>
      <c r="AC202" s="80"/>
      <c r="AD202" s="81"/>
      <c r="AE202" s="82"/>
      <c r="AF202" s="82"/>
      <c r="AG202" s="82"/>
      <c r="AH202" s="82"/>
      <c r="AI202" s="82"/>
      <c r="AJ202" s="82"/>
      <c r="AK202" s="82"/>
      <c r="AL202" s="82"/>
      <c r="AM202" s="83"/>
      <c r="AN202" s="83"/>
      <c r="AO202" s="84" t="str">
        <f t="shared" si="6"/>
        <v>لا</v>
      </c>
      <c r="AP202" s="85" t="str">
        <f t="shared" si="5"/>
        <v/>
      </c>
      <c r="AQ202" s="84" t="str">
        <f t="shared" si="6"/>
        <v>لا</v>
      </c>
      <c r="AR202" s="85" t="str">
        <f t="shared" si="7"/>
        <v/>
      </c>
      <c r="AS202" s="86" t="str">
        <f t="shared" si="8"/>
        <v>لا</v>
      </c>
      <c r="AT202" s="87" t="str">
        <f t="shared" si="9"/>
        <v/>
      </c>
      <c r="AU202" s="88"/>
      <c r="AV202" s="89"/>
      <c r="AW202" s="90"/>
      <c r="AX202" s="91" cm="1">
        <f t="array" ref="AX202">IFERROR(_xlfn.IFS($AB202="عدد الموظفين/الوحدة",S202*$AA202,$AB202='طريقة الحساب'!$B$2,S202*$AA202/الافتراضات!$B$27,$AB202='طريقة الحساب'!$B$3,S202*$AA202/الافتراضات!$B$26,$AB202='طريقة الحساب'!$B$4,S202*$AA202/الافتراضات!$B$28),"")</f>
        <v>1.6650171741281947</v>
      </c>
      <c r="AY202" s="91" cm="1">
        <f t="array" ref="AY202">IFERROR(_xlfn.IFS($AB202="عدد الموظفين/الوحدة",T202*$AA202,$AB202='طريقة الحساب'!$B$2,T202*$AA202/الافتراضات!$B$27,$AB202='طريقة الحساب'!$B$3,T202*$AA202/الافتراضات!$B$26,$AB202='طريقة الحساب'!$B$4,T202*$AA202/الافتراضات!$B$28),"")</f>
        <v>1.6650171741281947</v>
      </c>
      <c r="AZ202" s="91" cm="1">
        <f t="array" ref="AZ202">IFERROR(_xlfn.IFS($AB202="عدد الموظفين/الوحدة",U202*$AA202,$AB202='طريقة الحساب'!$B$2,U202*$AA202/الافتراضات!$B$27,$AB202='طريقة الحساب'!$B$3,U202*$AA202/الافتراضات!$B$26,$AB202='طريقة الحساب'!$B$4,U202*$AA202/الافتراضات!$B$28),"")</f>
        <v>1.6650171741281947</v>
      </c>
      <c r="BA202" s="91" cm="1">
        <f t="array" ref="BA202">IFERROR(_xlfn.IFS($AB202="عدد الموظفين/الوحدة",V202*$AA202,$AB202='طريقة الحساب'!$B$2,V202*$AA202/الافتراضات!$B$27,$AB202='طريقة الحساب'!$B$3,V202*$AA202/الافتراضات!$B$26,$AB202='طريقة الحساب'!$B$4,V202*$AA202/الافتراضات!$B$28),"")</f>
        <v>1.6650171741281947</v>
      </c>
      <c r="BB202" s="91" cm="1">
        <f t="array" ref="BB202">IFERROR(_xlfn.IFS($AB202="عدد الموظفين/الوحدة",W202*$AA202,$AB202='طريقة الحساب'!$B$2,W202*$AA202/الافتراضات!$B$27,$AB202='طريقة الحساب'!$B$3,W202*$AA202/الافتراضات!$B$26,$AB202='طريقة الحساب'!$B$4,W202*$AA202/الافتراضات!$B$28),"")</f>
        <v>1.6650171741281947</v>
      </c>
      <c r="BC202" s="91" cm="1">
        <f t="array" ref="BC202">IFERROR(_xlfn.IFS($AB202="عدد الموظفين/الوحدة",X202*$AA202,$AB202='طريقة الحساب'!$B$2,X202*$AA202/الافتراضات!$B$27,$AB202='طريقة الحساب'!$B$3,X202*$AA202/الافتراضات!$B$26,$AB202='طريقة الحساب'!$B$4,X202*$AA202/الافتراضات!$B$28),"")</f>
        <v>1.6650171741281947</v>
      </c>
      <c r="BD202" s="91" cm="1">
        <f t="array" ref="BD202">IFERROR(_xlfn.IFS($AB202="عدد الموظفين/الوحدة",Y202*$AA202,$AB202='طريقة الحساب'!$B$2,Y202*$AA202/الافتراضات!$B$27,$AB202='طريقة الحساب'!$B$3,Y202*$AA202/الافتراضات!$B$26,$AB202='طريقة الحساب'!$B$4,Y202*$AA202/الافتراضات!$B$28),"")</f>
        <v>1.6650171741281947</v>
      </c>
      <c r="BE202" s="91" cm="1">
        <f t="array" ref="BE202">IFERROR(_xlfn.IFS($AB202="عدد الموظفين/الوحدة",Z202*$AA202,$AB202='طريقة الحساب'!$B$2,Z202*$AA202/الافتراضات!$B$27,$AB202='طريقة الحساب'!$B$3,Z202*$AA202/الافتراضات!$B$26,$AB202='طريقة الحساب'!$B$4,Z202*$AA202/الافتراضات!$B$28),"")</f>
        <v>0</v>
      </c>
      <c r="BF202" s="92"/>
    </row>
    <row r="203" spans="2:58" x14ac:dyDescent="0.35">
      <c r="B203" s="124" t="s">
        <v>87</v>
      </c>
      <c r="C203" s="131" t="s">
        <v>88</v>
      </c>
      <c r="D203" s="131" t="s">
        <v>90</v>
      </c>
      <c r="E203" s="138" t="s">
        <v>93</v>
      </c>
      <c r="F203" s="125" t="s">
        <v>255</v>
      </c>
      <c r="G203" s="126" t="s">
        <v>84</v>
      </c>
      <c r="H203" s="127"/>
      <c r="I203" s="132">
        <v>1650</v>
      </c>
      <c r="J203" s="133">
        <v>1650</v>
      </c>
      <c r="K203" s="133">
        <v>1650</v>
      </c>
      <c r="L203" s="133">
        <v>1650</v>
      </c>
      <c r="M203" s="133">
        <v>1650</v>
      </c>
      <c r="N203" s="133">
        <v>1650</v>
      </c>
      <c r="O203" s="133">
        <v>1650</v>
      </c>
      <c r="P203" s="139">
        <v>1.5</v>
      </c>
      <c r="Q203" s="134" t="s">
        <v>32</v>
      </c>
      <c r="R203" s="128"/>
      <c r="S203" s="135">
        <v>1650</v>
      </c>
      <c r="T203" s="135">
        <v>1650</v>
      </c>
      <c r="U203" s="135">
        <v>1650</v>
      </c>
      <c r="V203" s="135">
        <v>1650</v>
      </c>
      <c r="W203" s="135">
        <v>1650</v>
      </c>
      <c r="X203" s="135">
        <v>1650</v>
      </c>
      <c r="Y203" s="135">
        <v>1650</v>
      </c>
      <c r="Z203" s="79"/>
      <c r="AA203" s="135">
        <v>1.5</v>
      </c>
      <c r="AB203" s="136" t="s">
        <v>32</v>
      </c>
      <c r="AC203" s="80"/>
      <c r="AD203" s="81"/>
      <c r="AE203" s="82"/>
      <c r="AF203" s="82"/>
      <c r="AG203" s="82"/>
      <c r="AH203" s="82"/>
      <c r="AI203" s="82"/>
      <c r="AJ203" s="82"/>
      <c r="AK203" s="82"/>
      <c r="AL203" s="82"/>
      <c r="AM203" s="83"/>
      <c r="AN203" s="83"/>
      <c r="AO203" s="84" t="str">
        <f t="shared" ref="AO203:AO207" si="22">IF(OR(N203="", Y203=""), "", IF(N203&lt;&gt;Y203, "نعم", "لا"))</f>
        <v>لا</v>
      </c>
      <c r="AP203" s="85" t="str">
        <f t="shared" ref="AP203:AP207" si="23">IF(AO203="نعم", "أضف المبررات هنا", "")</f>
        <v/>
      </c>
      <c r="AQ203" s="84" t="str">
        <f t="shared" ref="AQ203:AQ207" si="24">IF(OR(P203="", AA203=""), "", IF(P203&lt;&gt;AA203, "نعم", "لا"))</f>
        <v>لا</v>
      </c>
      <c r="AR203" s="85" t="str">
        <f t="shared" ref="AR203:AR207" si="25">IF(AQ203="نعم", "[أضف المبررات هنا]", "")</f>
        <v/>
      </c>
      <c r="AS203" s="86" t="str">
        <f t="shared" ref="AS203:AS207" si="26">IF(OR(Q203="", AB203=""), "", IF(Q203&lt;&gt;AB203, "نعم", "لا"))</f>
        <v>لا</v>
      </c>
      <c r="AT203" s="87" t="str">
        <f t="shared" ref="AT203:AT207" si="27">IF(AS203="نعم", "[أضف المبررات هنا]", "")</f>
        <v/>
      </c>
      <c r="AU203" s="88"/>
      <c r="AV203" s="89"/>
      <c r="AW203" s="90"/>
      <c r="AX203" s="91" cm="1">
        <f t="array" ref="AX203">IFERROR(_xlfn.IFS($AB203="عدد الموظفين/الوحدة",S203*$AA203,$AB203='طريقة الحساب'!$B$2,S203*$AA203/الافتراضات!$B$27,$AB203='طريقة الحساب'!$B$3,S203*$AA203/الافتراضات!$B$26,$AB203='طريقة الحساب'!$B$4,S203*$AA203/الافتراضات!$B$28),"")</f>
        <v>2.4975257611922919</v>
      </c>
      <c r="AY203" s="91" cm="1">
        <f t="array" ref="AY203">IFERROR(_xlfn.IFS($AB203="عدد الموظفين/الوحدة",T203*$AA203,$AB203='طريقة الحساب'!$B$2,T203*$AA203/الافتراضات!$B$27,$AB203='طريقة الحساب'!$B$3,T203*$AA203/الافتراضات!$B$26,$AB203='طريقة الحساب'!$B$4,T203*$AA203/الافتراضات!$B$28),"")</f>
        <v>2.4975257611922919</v>
      </c>
      <c r="AZ203" s="91" cm="1">
        <f t="array" ref="AZ203">IFERROR(_xlfn.IFS($AB203="عدد الموظفين/الوحدة",U203*$AA203,$AB203='طريقة الحساب'!$B$2,U203*$AA203/الافتراضات!$B$27,$AB203='طريقة الحساب'!$B$3,U203*$AA203/الافتراضات!$B$26,$AB203='طريقة الحساب'!$B$4,U203*$AA203/الافتراضات!$B$28),"")</f>
        <v>2.4975257611922919</v>
      </c>
      <c r="BA203" s="91" cm="1">
        <f t="array" ref="BA203">IFERROR(_xlfn.IFS($AB203="عدد الموظفين/الوحدة",V203*$AA203,$AB203='طريقة الحساب'!$B$2,V203*$AA203/الافتراضات!$B$27,$AB203='طريقة الحساب'!$B$3,V203*$AA203/الافتراضات!$B$26,$AB203='طريقة الحساب'!$B$4,V203*$AA203/الافتراضات!$B$28),"")</f>
        <v>2.4975257611922919</v>
      </c>
      <c r="BB203" s="91" cm="1">
        <f t="array" ref="BB203">IFERROR(_xlfn.IFS($AB203="عدد الموظفين/الوحدة",W203*$AA203,$AB203='طريقة الحساب'!$B$2,W203*$AA203/الافتراضات!$B$27,$AB203='طريقة الحساب'!$B$3,W203*$AA203/الافتراضات!$B$26,$AB203='طريقة الحساب'!$B$4,W203*$AA203/الافتراضات!$B$28),"")</f>
        <v>2.4975257611922919</v>
      </c>
      <c r="BC203" s="91" cm="1">
        <f t="array" ref="BC203">IFERROR(_xlfn.IFS($AB203="عدد الموظفين/الوحدة",X203*$AA203,$AB203='طريقة الحساب'!$B$2,X203*$AA203/الافتراضات!$B$27,$AB203='طريقة الحساب'!$B$3,X203*$AA203/الافتراضات!$B$26,$AB203='طريقة الحساب'!$B$4,X203*$AA203/الافتراضات!$B$28),"")</f>
        <v>2.4975257611922919</v>
      </c>
      <c r="BD203" s="91" cm="1">
        <f t="array" ref="BD203">IFERROR(_xlfn.IFS($AB203="عدد الموظفين/الوحدة",Y203*$AA203,$AB203='طريقة الحساب'!$B$2,Y203*$AA203/الافتراضات!$B$27,$AB203='طريقة الحساب'!$B$3,Y203*$AA203/الافتراضات!$B$26,$AB203='طريقة الحساب'!$B$4,Y203*$AA203/الافتراضات!$B$28),"")</f>
        <v>2.4975257611922919</v>
      </c>
      <c r="BE203" s="91" cm="1">
        <f t="array" ref="BE203">IFERROR(_xlfn.IFS($AB203="عدد الموظفين/الوحدة",Z203*$AA203,$AB203='طريقة الحساب'!$B$2,Z203*$AA203/الافتراضات!$B$27,$AB203='طريقة الحساب'!$B$3,Z203*$AA203/الافتراضات!$B$26,$AB203='طريقة الحساب'!$B$4,Z203*$AA203/الافتراضات!$B$28),"")</f>
        <v>0</v>
      </c>
      <c r="BF203" s="92"/>
    </row>
    <row r="204" spans="2:58" x14ac:dyDescent="0.35">
      <c r="B204" s="124" t="s">
        <v>87</v>
      </c>
      <c r="C204" s="131" t="s">
        <v>88</v>
      </c>
      <c r="D204" s="131" t="s">
        <v>90</v>
      </c>
      <c r="E204" s="138" t="s">
        <v>93</v>
      </c>
      <c r="F204" s="125" t="s">
        <v>256</v>
      </c>
      <c r="G204" s="126" t="s">
        <v>84</v>
      </c>
      <c r="H204" s="127"/>
      <c r="I204" s="132">
        <v>1650</v>
      </c>
      <c r="J204" s="133">
        <v>1650</v>
      </c>
      <c r="K204" s="133">
        <v>1650</v>
      </c>
      <c r="L204" s="133">
        <v>1650</v>
      </c>
      <c r="M204" s="133">
        <v>1650</v>
      </c>
      <c r="N204" s="133">
        <v>1650</v>
      </c>
      <c r="O204" s="133">
        <v>1650</v>
      </c>
      <c r="P204" s="139">
        <v>1.5</v>
      </c>
      <c r="Q204" s="134" t="s">
        <v>32</v>
      </c>
      <c r="R204" s="128"/>
      <c r="S204" s="135">
        <v>1650</v>
      </c>
      <c r="T204" s="135">
        <v>1650</v>
      </c>
      <c r="U204" s="135">
        <v>1650</v>
      </c>
      <c r="V204" s="135">
        <v>1650</v>
      </c>
      <c r="W204" s="135">
        <v>1650</v>
      </c>
      <c r="X204" s="135">
        <v>1650</v>
      </c>
      <c r="Y204" s="135">
        <v>1650</v>
      </c>
      <c r="Z204" s="79"/>
      <c r="AA204" s="135">
        <v>1.5</v>
      </c>
      <c r="AB204" s="136" t="s">
        <v>32</v>
      </c>
      <c r="AC204" s="80"/>
      <c r="AD204" s="81"/>
      <c r="AE204" s="82"/>
      <c r="AF204" s="82"/>
      <c r="AG204" s="82"/>
      <c r="AH204" s="82"/>
      <c r="AI204" s="82"/>
      <c r="AJ204" s="82"/>
      <c r="AK204" s="82"/>
      <c r="AL204" s="82"/>
      <c r="AM204" s="83"/>
      <c r="AN204" s="83"/>
      <c r="AO204" s="84" t="str">
        <f t="shared" si="22"/>
        <v>لا</v>
      </c>
      <c r="AP204" s="85" t="str">
        <f t="shared" si="23"/>
        <v/>
      </c>
      <c r="AQ204" s="84" t="str">
        <f t="shared" si="24"/>
        <v>لا</v>
      </c>
      <c r="AR204" s="85" t="str">
        <f t="shared" si="25"/>
        <v/>
      </c>
      <c r="AS204" s="86" t="str">
        <f t="shared" si="26"/>
        <v>لا</v>
      </c>
      <c r="AT204" s="87" t="str">
        <f t="shared" si="27"/>
        <v/>
      </c>
      <c r="AU204" s="88"/>
      <c r="AV204" s="89"/>
      <c r="AW204" s="90"/>
      <c r="AX204" s="91" cm="1">
        <f t="array" ref="AX204">IFERROR(_xlfn.IFS($AB204="عدد الموظفين/الوحدة",S204*$AA204,$AB204='طريقة الحساب'!$B$2,S204*$AA204/الافتراضات!$B$27,$AB204='طريقة الحساب'!$B$3,S204*$AA204/الافتراضات!$B$26,$AB204='طريقة الحساب'!$B$4,S204*$AA204/الافتراضات!$B$28),"")</f>
        <v>2.4975257611922919</v>
      </c>
      <c r="AY204" s="91" cm="1">
        <f t="array" ref="AY204">IFERROR(_xlfn.IFS($AB204="عدد الموظفين/الوحدة",T204*$AA204,$AB204='طريقة الحساب'!$B$2,T204*$AA204/الافتراضات!$B$27,$AB204='طريقة الحساب'!$B$3,T204*$AA204/الافتراضات!$B$26,$AB204='طريقة الحساب'!$B$4,T204*$AA204/الافتراضات!$B$28),"")</f>
        <v>2.4975257611922919</v>
      </c>
      <c r="AZ204" s="91" cm="1">
        <f t="array" ref="AZ204">IFERROR(_xlfn.IFS($AB204="عدد الموظفين/الوحدة",U204*$AA204,$AB204='طريقة الحساب'!$B$2,U204*$AA204/الافتراضات!$B$27,$AB204='طريقة الحساب'!$B$3,U204*$AA204/الافتراضات!$B$26,$AB204='طريقة الحساب'!$B$4,U204*$AA204/الافتراضات!$B$28),"")</f>
        <v>2.4975257611922919</v>
      </c>
      <c r="BA204" s="91" cm="1">
        <f t="array" ref="BA204">IFERROR(_xlfn.IFS($AB204="عدد الموظفين/الوحدة",V204*$AA204,$AB204='طريقة الحساب'!$B$2,V204*$AA204/الافتراضات!$B$27,$AB204='طريقة الحساب'!$B$3,V204*$AA204/الافتراضات!$B$26,$AB204='طريقة الحساب'!$B$4,V204*$AA204/الافتراضات!$B$28),"")</f>
        <v>2.4975257611922919</v>
      </c>
      <c r="BB204" s="91" cm="1">
        <f t="array" ref="BB204">IFERROR(_xlfn.IFS($AB204="عدد الموظفين/الوحدة",W204*$AA204,$AB204='طريقة الحساب'!$B$2,W204*$AA204/الافتراضات!$B$27,$AB204='طريقة الحساب'!$B$3,W204*$AA204/الافتراضات!$B$26,$AB204='طريقة الحساب'!$B$4,W204*$AA204/الافتراضات!$B$28),"")</f>
        <v>2.4975257611922919</v>
      </c>
      <c r="BC204" s="91" cm="1">
        <f t="array" ref="BC204">IFERROR(_xlfn.IFS($AB204="عدد الموظفين/الوحدة",X204*$AA204,$AB204='طريقة الحساب'!$B$2,X204*$AA204/الافتراضات!$B$27,$AB204='طريقة الحساب'!$B$3,X204*$AA204/الافتراضات!$B$26,$AB204='طريقة الحساب'!$B$4,X204*$AA204/الافتراضات!$B$28),"")</f>
        <v>2.4975257611922919</v>
      </c>
      <c r="BD204" s="91" cm="1">
        <f t="array" ref="BD204">IFERROR(_xlfn.IFS($AB204="عدد الموظفين/الوحدة",Y204*$AA204,$AB204='طريقة الحساب'!$B$2,Y204*$AA204/الافتراضات!$B$27,$AB204='طريقة الحساب'!$B$3,Y204*$AA204/الافتراضات!$B$26,$AB204='طريقة الحساب'!$B$4,Y204*$AA204/الافتراضات!$B$28),"")</f>
        <v>2.4975257611922919</v>
      </c>
      <c r="BE204" s="91" cm="1">
        <f t="array" ref="BE204">IFERROR(_xlfn.IFS($AB204="عدد الموظفين/الوحدة",Z204*$AA204,$AB204='طريقة الحساب'!$B$2,Z204*$AA204/الافتراضات!$B$27,$AB204='طريقة الحساب'!$B$3,Z204*$AA204/الافتراضات!$B$26,$AB204='طريقة الحساب'!$B$4,Z204*$AA204/الافتراضات!$B$28),"")</f>
        <v>0</v>
      </c>
      <c r="BF204" s="92"/>
    </row>
    <row r="205" spans="2:58" x14ac:dyDescent="0.35">
      <c r="B205" s="124" t="s">
        <v>87</v>
      </c>
      <c r="C205" s="131" t="s">
        <v>88</v>
      </c>
      <c r="D205" s="131" t="s">
        <v>90</v>
      </c>
      <c r="E205" s="138" t="s">
        <v>94</v>
      </c>
      <c r="F205" s="163"/>
      <c r="G205" s="126" t="s">
        <v>84</v>
      </c>
      <c r="H205" s="127"/>
      <c r="I205" s="132"/>
      <c r="J205" s="133"/>
      <c r="K205" s="133"/>
      <c r="L205" s="133"/>
      <c r="M205" s="133"/>
      <c r="N205" s="133"/>
      <c r="O205" s="133"/>
      <c r="P205" s="133"/>
      <c r="Q205" s="134"/>
      <c r="R205" s="128"/>
      <c r="S205" s="164"/>
      <c r="T205" s="164"/>
      <c r="U205" s="164"/>
      <c r="V205" s="164"/>
      <c r="W205" s="164"/>
      <c r="X205" s="164"/>
      <c r="Y205" s="164"/>
      <c r="Z205" s="79"/>
      <c r="AA205" s="164"/>
      <c r="AB205" s="165"/>
      <c r="AC205" s="80"/>
      <c r="AD205" s="81"/>
      <c r="AE205" s="82"/>
      <c r="AF205" s="82"/>
      <c r="AG205" s="82"/>
      <c r="AH205" s="82"/>
      <c r="AI205" s="82"/>
      <c r="AJ205" s="82"/>
      <c r="AK205" s="82"/>
      <c r="AL205" s="82"/>
      <c r="AM205" s="83"/>
      <c r="AN205" s="83"/>
      <c r="AO205" s="84" t="str">
        <f t="shared" si="22"/>
        <v/>
      </c>
      <c r="AP205" s="85" t="str">
        <f t="shared" si="23"/>
        <v/>
      </c>
      <c r="AQ205" s="84" t="str">
        <f t="shared" si="24"/>
        <v/>
      </c>
      <c r="AR205" s="85" t="str">
        <f t="shared" si="25"/>
        <v/>
      </c>
      <c r="AS205" s="86" t="str">
        <f t="shared" si="26"/>
        <v/>
      </c>
      <c r="AT205" s="87" t="str">
        <f t="shared" si="27"/>
        <v/>
      </c>
      <c r="AU205" s="88"/>
      <c r="AV205" s="89"/>
      <c r="AW205" s="90"/>
      <c r="AX205" s="91" t="str" cm="1">
        <f t="array" ref="AX205">IFERROR(_xlfn.IFS($AB205="عدد الموظفين/الوحدة",S205*$AA205,$AB205='طريقة الحساب'!$B$2,S205*$AA205/الافتراضات!$B$27,$AB205='طريقة الحساب'!$B$3,S205*$AA205/الافتراضات!$B$26,$AB205='طريقة الحساب'!$B$4,S205*$AA205/الافتراضات!$B$28),"")</f>
        <v/>
      </c>
      <c r="AY205" s="91" t="str" cm="1">
        <f t="array" ref="AY205">IFERROR(_xlfn.IFS($AB205="عدد الموظفين/الوحدة",T205*$AA205,$AB205='طريقة الحساب'!$B$2,T205*$AA205/الافتراضات!$B$27,$AB205='طريقة الحساب'!$B$3,T205*$AA205/الافتراضات!$B$26,$AB205='طريقة الحساب'!$B$4,T205*$AA205/الافتراضات!$B$28),"")</f>
        <v/>
      </c>
      <c r="AZ205" s="91" t="str" cm="1">
        <f t="array" ref="AZ205">IFERROR(_xlfn.IFS($AB205="عدد الموظفين/الوحدة",U205*$AA205,$AB205='طريقة الحساب'!$B$2,U205*$AA205/الافتراضات!$B$27,$AB205='طريقة الحساب'!$B$3,U205*$AA205/الافتراضات!$B$26,$AB205='طريقة الحساب'!$B$4,U205*$AA205/الافتراضات!$B$28),"")</f>
        <v/>
      </c>
      <c r="BA205" s="91" t="str" cm="1">
        <f t="array" ref="BA205">IFERROR(_xlfn.IFS($AB205="عدد الموظفين/الوحدة",V205*$AA205,$AB205='طريقة الحساب'!$B$2,V205*$AA205/الافتراضات!$B$27,$AB205='طريقة الحساب'!$B$3,V205*$AA205/الافتراضات!$B$26,$AB205='طريقة الحساب'!$B$4,V205*$AA205/الافتراضات!$B$28),"")</f>
        <v/>
      </c>
      <c r="BB205" s="91" t="str" cm="1">
        <f t="array" ref="BB205">IFERROR(_xlfn.IFS($AB205="عدد الموظفين/الوحدة",W205*$AA205,$AB205='طريقة الحساب'!$B$2,W205*$AA205/الافتراضات!$B$27,$AB205='طريقة الحساب'!$B$3,W205*$AA205/الافتراضات!$B$26,$AB205='طريقة الحساب'!$B$4,W205*$AA205/الافتراضات!$B$28),"")</f>
        <v/>
      </c>
      <c r="BC205" s="91" t="str" cm="1">
        <f t="array" ref="BC205">IFERROR(_xlfn.IFS($AB205="عدد الموظفين/الوحدة",X205*$AA205,$AB205='طريقة الحساب'!$B$2,X205*$AA205/الافتراضات!$B$27,$AB205='طريقة الحساب'!$B$3,X205*$AA205/الافتراضات!$B$26,$AB205='طريقة الحساب'!$B$4,X205*$AA205/الافتراضات!$B$28),"")</f>
        <v/>
      </c>
      <c r="BD205" s="91" t="str" cm="1">
        <f t="array" ref="BD205">IFERROR(_xlfn.IFS($AB205="عدد الموظفين/الوحدة",Y205*$AA205,$AB205='طريقة الحساب'!$B$2,Y205*$AA205/الافتراضات!$B$27,$AB205='طريقة الحساب'!$B$3,Y205*$AA205/الافتراضات!$B$26,$AB205='طريقة الحساب'!$B$4,Y205*$AA205/الافتراضات!$B$28),"")</f>
        <v/>
      </c>
      <c r="BE205" s="91" t="str" cm="1">
        <f t="array" ref="BE205">IFERROR(_xlfn.IFS($AB205="عدد الموظفين/الوحدة",Z205*$AA205,$AB205='طريقة الحساب'!$B$2,Z205*$AA205/الافتراضات!$B$27,$AB205='طريقة الحساب'!$B$3,Z205*$AA205/الافتراضات!$B$26,$AB205='طريقة الحساب'!$B$4,Z205*$AA205/الافتراضات!$B$28),"")</f>
        <v/>
      </c>
      <c r="BF205" s="92"/>
    </row>
    <row r="206" spans="2:58" x14ac:dyDescent="0.35">
      <c r="B206" s="124" t="s">
        <v>87</v>
      </c>
      <c r="C206" s="131" t="s">
        <v>88</v>
      </c>
      <c r="D206" s="131" t="s">
        <v>90</v>
      </c>
      <c r="E206" s="138" t="s">
        <v>95</v>
      </c>
      <c r="F206" s="163"/>
      <c r="G206" s="126" t="s">
        <v>84</v>
      </c>
      <c r="H206" s="127"/>
      <c r="I206" s="132"/>
      <c r="J206" s="133"/>
      <c r="K206" s="133"/>
      <c r="L206" s="133"/>
      <c r="M206" s="133"/>
      <c r="N206" s="133"/>
      <c r="O206" s="133"/>
      <c r="P206" s="133"/>
      <c r="Q206" s="134"/>
      <c r="R206" s="128"/>
      <c r="S206" s="164"/>
      <c r="T206" s="164"/>
      <c r="U206" s="164"/>
      <c r="V206" s="164"/>
      <c r="W206" s="164"/>
      <c r="X206" s="164"/>
      <c r="Y206" s="164"/>
      <c r="Z206" s="79"/>
      <c r="AA206" s="164"/>
      <c r="AB206" s="165"/>
      <c r="AC206" s="80"/>
      <c r="AD206" s="81"/>
      <c r="AE206" s="82"/>
      <c r="AF206" s="82"/>
      <c r="AG206" s="82"/>
      <c r="AH206" s="82"/>
      <c r="AI206" s="82"/>
      <c r="AJ206" s="82"/>
      <c r="AK206" s="82"/>
      <c r="AL206" s="82"/>
      <c r="AM206" s="83"/>
      <c r="AN206" s="83"/>
      <c r="AO206" s="84" t="str">
        <f t="shared" si="22"/>
        <v/>
      </c>
      <c r="AP206" s="85" t="str">
        <f t="shared" si="23"/>
        <v/>
      </c>
      <c r="AQ206" s="84" t="str">
        <f t="shared" si="24"/>
        <v/>
      </c>
      <c r="AR206" s="85" t="str">
        <f t="shared" si="25"/>
        <v/>
      </c>
      <c r="AS206" s="86" t="str">
        <f t="shared" si="26"/>
        <v/>
      </c>
      <c r="AT206" s="87" t="str">
        <f t="shared" si="27"/>
        <v/>
      </c>
      <c r="AU206" s="88"/>
      <c r="AV206" s="89"/>
      <c r="AW206" s="90"/>
      <c r="AX206" s="91" t="str" cm="1">
        <f t="array" ref="AX206">IFERROR(_xlfn.IFS($AB206="عدد الموظفين/الوحدة",S206*$AA206,$AB206='طريقة الحساب'!$B$2,S206*$AA206/الافتراضات!$B$27,$AB206='طريقة الحساب'!$B$3,S206*$AA206/الافتراضات!$B$26,$AB206='طريقة الحساب'!$B$4,S206*$AA206/الافتراضات!$B$28),"")</f>
        <v/>
      </c>
      <c r="AY206" s="91" t="str" cm="1">
        <f t="array" ref="AY206">IFERROR(_xlfn.IFS($AB206="عدد الموظفين/الوحدة",T206*$AA206,$AB206='طريقة الحساب'!$B$2,T206*$AA206/الافتراضات!$B$27,$AB206='طريقة الحساب'!$B$3,T206*$AA206/الافتراضات!$B$26,$AB206='طريقة الحساب'!$B$4,T206*$AA206/الافتراضات!$B$28),"")</f>
        <v/>
      </c>
      <c r="AZ206" s="91" t="str" cm="1">
        <f t="array" ref="AZ206">IFERROR(_xlfn.IFS($AB206="عدد الموظفين/الوحدة",U206*$AA206,$AB206='طريقة الحساب'!$B$2,U206*$AA206/الافتراضات!$B$27,$AB206='طريقة الحساب'!$B$3,U206*$AA206/الافتراضات!$B$26,$AB206='طريقة الحساب'!$B$4,U206*$AA206/الافتراضات!$B$28),"")</f>
        <v/>
      </c>
      <c r="BA206" s="91" t="str" cm="1">
        <f t="array" ref="BA206">IFERROR(_xlfn.IFS($AB206="عدد الموظفين/الوحدة",V206*$AA206,$AB206='طريقة الحساب'!$B$2,V206*$AA206/الافتراضات!$B$27,$AB206='طريقة الحساب'!$B$3,V206*$AA206/الافتراضات!$B$26,$AB206='طريقة الحساب'!$B$4,V206*$AA206/الافتراضات!$B$28),"")</f>
        <v/>
      </c>
      <c r="BB206" s="91" t="str" cm="1">
        <f t="array" ref="BB206">IFERROR(_xlfn.IFS($AB206="عدد الموظفين/الوحدة",W206*$AA206,$AB206='طريقة الحساب'!$B$2,W206*$AA206/الافتراضات!$B$27,$AB206='طريقة الحساب'!$B$3,W206*$AA206/الافتراضات!$B$26,$AB206='طريقة الحساب'!$B$4,W206*$AA206/الافتراضات!$B$28),"")</f>
        <v/>
      </c>
      <c r="BC206" s="91" t="str" cm="1">
        <f t="array" ref="BC206">IFERROR(_xlfn.IFS($AB206="عدد الموظفين/الوحدة",X206*$AA206,$AB206='طريقة الحساب'!$B$2,X206*$AA206/الافتراضات!$B$27,$AB206='طريقة الحساب'!$B$3,X206*$AA206/الافتراضات!$B$26,$AB206='طريقة الحساب'!$B$4,X206*$AA206/الافتراضات!$B$28),"")</f>
        <v/>
      </c>
      <c r="BD206" s="91" t="str" cm="1">
        <f t="array" ref="BD206">IFERROR(_xlfn.IFS($AB206="عدد الموظفين/الوحدة",Y206*$AA206,$AB206='طريقة الحساب'!$B$2,Y206*$AA206/الافتراضات!$B$27,$AB206='طريقة الحساب'!$B$3,Y206*$AA206/الافتراضات!$B$26,$AB206='طريقة الحساب'!$B$4,Y206*$AA206/الافتراضات!$B$28),"")</f>
        <v/>
      </c>
      <c r="BE206" s="91" t="str" cm="1">
        <f t="array" ref="BE206">IFERROR(_xlfn.IFS($AB206="عدد الموظفين/الوحدة",Z206*$AA206,$AB206='طريقة الحساب'!$B$2,Z206*$AA206/الافتراضات!$B$27,$AB206='طريقة الحساب'!$B$3,Z206*$AA206/الافتراضات!$B$26,$AB206='طريقة الحساب'!$B$4,Z206*$AA206/الافتراضات!$B$28),"")</f>
        <v/>
      </c>
      <c r="BF206" s="92"/>
    </row>
    <row r="207" spans="2:58" x14ac:dyDescent="0.35">
      <c r="B207" s="124" t="s">
        <v>87</v>
      </c>
      <c r="C207" s="131" t="s">
        <v>88</v>
      </c>
      <c r="D207" s="131" t="s">
        <v>90</v>
      </c>
      <c r="E207" s="138" t="s">
        <v>89</v>
      </c>
      <c r="F207" s="163"/>
      <c r="G207" s="126" t="s">
        <v>84</v>
      </c>
      <c r="H207" s="127"/>
      <c r="I207" s="132"/>
      <c r="J207" s="133"/>
      <c r="K207" s="133"/>
      <c r="L207" s="133"/>
      <c r="M207" s="133"/>
      <c r="N207" s="133"/>
      <c r="O207" s="133"/>
      <c r="P207" s="133"/>
      <c r="Q207" s="134"/>
      <c r="R207" s="128"/>
      <c r="S207" s="164"/>
      <c r="T207" s="164"/>
      <c r="U207" s="164"/>
      <c r="V207" s="164"/>
      <c r="W207" s="164"/>
      <c r="X207" s="164"/>
      <c r="Y207" s="164"/>
      <c r="Z207" s="79"/>
      <c r="AA207" s="164"/>
      <c r="AB207" s="165"/>
      <c r="AC207" s="80"/>
      <c r="AD207" s="81"/>
      <c r="AE207" s="82"/>
      <c r="AF207" s="82"/>
      <c r="AG207" s="82"/>
      <c r="AH207" s="82"/>
      <c r="AI207" s="82"/>
      <c r="AJ207" s="82"/>
      <c r="AK207" s="82"/>
      <c r="AL207" s="82"/>
      <c r="AM207" s="83"/>
      <c r="AN207" s="83"/>
      <c r="AO207" s="84" t="str">
        <f t="shared" si="22"/>
        <v/>
      </c>
      <c r="AP207" s="85" t="str">
        <f t="shared" si="23"/>
        <v/>
      </c>
      <c r="AQ207" s="84" t="str">
        <f t="shared" si="24"/>
        <v/>
      </c>
      <c r="AR207" s="85" t="str">
        <f t="shared" si="25"/>
        <v/>
      </c>
      <c r="AS207" s="86" t="str">
        <f t="shared" si="26"/>
        <v/>
      </c>
      <c r="AT207" s="87" t="str">
        <f t="shared" si="27"/>
        <v/>
      </c>
      <c r="AU207" s="88"/>
      <c r="AV207" s="89"/>
      <c r="AW207" s="90"/>
      <c r="AX207" s="91" t="str" cm="1">
        <f t="array" ref="AX207">IFERROR(_xlfn.IFS($AB207="عدد الموظفين/الوحدة",S207*$AA207,$AB207='طريقة الحساب'!$B$2,S207*$AA207/الافتراضات!$B$27,$AB207='طريقة الحساب'!$B$3,S207*$AA207/الافتراضات!$B$26,$AB207='طريقة الحساب'!$B$4,S207*$AA207/الافتراضات!$B$28),"")</f>
        <v/>
      </c>
      <c r="AY207" s="91" t="str" cm="1">
        <f t="array" ref="AY207">IFERROR(_xlfn.IFS($AB207="عدد الموظفين/الوحدة",T207*$AA207,$AB207='طريقة الحساب'!$B$2,T207*$AA207/الافتراضات!$B$27,$AB207='طريقة الحساب'!$B$3,T207*$AA207/الافتراضات!$B$26,$AB207='طريقة الحساب'!$B$4,T207*$AA207/الافتراضات!$B$28),"")</f>
        <v/>
      </c>
      <c r="AZ207" s="91" t="str" cm="1">
        <f t="array" ref="AZ207">IFERROR(_xlfn.IFS($AB207="عدد الموظفين/الوحدة",U207*$AA207,$AB207='طريقة الحساب'!$B$2,U207*$AA207/الافتراضات!$B$27,$AB207='طريقة الحساب'!$B$3,U207*$AA207/الافتراضات!$B$26,$AB207='طريقة الحساب'!$B$4,U207*$AA207/الافتراضات!$B$28),"")</f>
        <v/>
      </c>
      <c r="BA207" s="91" t="str" cm="1">
        <f t="array" ref="BA207">IFERROR(_xlfn.IFS($AB207="عدد الموظفين/الوحدة",V207*$AA207,$AB207='طريقة الحساب'!$B$2,V207*$AA207/الافتراضات!$B$27,$AB207='طريقة الحساب'!$B$3,V207*$AA207/الافتراضات!$B$26,$AB207='طريقة الحساب'!$B$4,V207*$AA207/الافتراضات!$B$28),"")</f>
        <v/>
      </c>
      <c r="BB207" s="91" t="str" cm="1">
        <f t="array" ref="BB207">IFERROR(_xlfn.IFS($AB207="عدد الموظفين/الوحدة",W207*$AA207,$AB207='طريقة الحساب'!$B$2,W207*$AA207/الافتراضات!$B$27,$AB207='طريقة الحساب'!$B$3,W207*$AA207/الافتراضات!$B$26,$AB207='طريقة الحساب'!$B$4,W207*$AA207/الافتراضات!$B$28),"")</f>
        <v/>
      </c>
      <c r="BC207" s="91" t="str" cm="1">
        <f t="array" ref="BC207">IFERROR(_xlfn.IFS($AB207="عدد الموظفين/الوحدة",X207*$AA207,$AB207='طريقة الحساب'!$B$2,X207*$AA207/الافتراضات!$B$27,$AB207='طريقة الحساب'!$B$3,X207*$AA207/الافتراضات!$B$26,$AB207='طريقة الحساب'!$B$4,X207*$AA207/الافتراضات!$B$28),"")</f>
        <v/>
      </c>
      <c r="BD207" s="91" t="str" cm="1">
        <f t="array" ref="BD207">IFERROR(_xlfn.IFS($AB207="عدد الموظفين/الوحدة",Y207*$AA207,$AB207='طريقة الحساب'!$B$2,Y207*$AA207/الافتراضات!$B$27,$AB207='طريقة الحساب'!$B$3,Y207*$AA207/الافتراضات!$B$26,$AB207='طريقة الحساب'!$B$4,Y207*$AA207/الافتراضات!$B$28),"")</f>
        <v/>
      </c>
      <c r="BE207" s="91" t="str" cm="1">
        <f t="array" ref="BE207">IFERROR(_xlfn.IFS($AB207="عدد الموظفين/الوحدة",Z207*$AA207,$AB207='طريقة الحساب'!$B$2,Z207*$AA207/الافتراضات!$B$27,$AB207='طريقة الحساب'!$B$3,Z207*$AA207/الافتراضات!$B$26,$AB207='طريقة الحساب'!$B$4,Z207*$AA207/الافتراضات!$B$28),"")</f>
        <v/>
      </c>
      <c r="BF207" s="92"/>
    </row>
    <row r="208" spans="2:58" ht="14.5" customHeight="1" x14ac:dyDescent="0.35">
      <c r="B208" s="37"/>
      <c r="C208" s="37"/>
      <c r="D208" s="94"/>
      <c r="E208" s="38"/>
      <c r="F208" s="37"/>
      <c r="G208" s="129"/>
      <c r="H208" s="8"/>
      <c r="I208" s="12"/>
      <c r="J208" s="13"/>
      <c r="K208" s="13"/>
      <c r="L208" s="13"/>
      <c r="M208" s="13"/>
      <c r="N208" s="13"/>
      <c r="O208" s="13"/>
      <c r="P208" s="13"/>
      <c r="Q208" s="14"/>
      <c r="R208" s="9"/>
      <c r="S208" s="25"/>
      <c r="T208" s="25"/>
      <c r="U208" s="25"/>
      <c r="V208" s="25"/>
      <c r="W208" s="25"/>
      <c r="X208" s="25"/>
      <c r="Y208" s="25"/>
      <c r="Z208" s="25"/>
      <c r="AA208" s="25"/>
      <c r="AB208" s="130"/>
      <c r="AC208" s="26"/>
      <c r="AD208" s="9"/>
      <c r="AE208" s="15"/>
      <c r="AF208" s="15"/>
      <c r="AG208" s="15"/>
      <c r="AH208" s="15"/>
      <c r="AI208" s="15"/>
      <c r="AJ208" s="15"/>
      <c r="AK208" s="15"/>
      <c r="AL208" s="16"/>
      <c r="AM208" s="16"/>
      <c r="AN208" s="16"/>
      <c r="AO208" s="12"/>
      <c r="AP208" s="40"/>
      <c r="AQ208" s="41"/>
      <c r="AR208" s="40"/>
      <c r="AS208" s="42"/>
      <c r="AT208" s="42"/>
      <c r="AU208" s="36"/>
      <c r="AV208" s="69"/>
      <c r="AW208" s="70"/>
      <c r="AX208" s="78"/>
      <c r="AY208" s="78"/>
      <c r="AZ208" s="78"/>
      <c r="BA208" s="78"/>
      <c r="BB208" s="78"/>
      <c r="BC208" s="78"/>
      <c r="BD208" s="78"/>
      <c r="BE208" s="78"/>
    </row>
    <row r="209" spans="2:57" ht="14.5" customHeight="1" x14ac:dyDescent="0.35">
      <c r="B209" s="37"/>
      <c r="C209" s="37"/>
      <c r="D209" s="94"/>
      <c r="E209" s="38"/>
      <c r="F209" s="37"/>
      <c r="G209" s="129"/>
      <c r="H209" s="8"/>
      <c r="I209" s="12"/>
      <c r="J209" s="13"/>
      <c r="K209" s="13"/>
      <c r="L209" s="13"/>
      <c r="M209" s="13"/>
      <c r="N209" s="13"/>
      <c r="O209" s="13"/>
      <c r="P209" s="13"/>
      <c r="Q209" s="14"/>
      <c r="R209" s="9"/>
      <c r="S209" s="25"/>
      <c r="T209" s="25"/>
      <c r="U209" s="25"/>
      <c r="V209" s="25"/>
      <c r="W209" s="25"/>
      <c r="X209" s="25"/>
      <c r="Y209" s="25"/>
      <c r="Z209" s="25"/>
      <c r="AA209" s="25"/>
      <c r="AB209" s="130"/>
      <c r="AC209" s="26"/>
      <c r="AD209" s="9"/>
      <c r="AE209" s="15"/>
      <c r="AF209" s="15"/>
      <c r="AG209" s="15"/>
      <c r="AH209" s="15"/>
      <c r="AI209" s="15"/>
      <c r="AJ209" s="15"/>
      <c r="AK209" s="15"/>
      <c r="AL209" s="16"/>
      <c r="AM209" s="16"/>
      <c r="AN209" s="16"/>
      <c r="AO209" s="12"/>
      <c r="AP209" s="40"/>
      <c r="AQ209" s="41"/>
      <c r="AR209" s="40"/>
      <c r="AS209" s="42"/>
      <c r="AT209" s="42"/>
      <c r="AU209" s="36"/>
      <c r="AV209" s="69"/>
      <c r="AW209" s="70"/>
      <c r="AX209" s="78"/>
      <c r="AY209" s="78"/>
      <c r="AZ209" s="78"/>
      <c r="BA209" s="78"/>
      <c r="BB209" s="78"/>
      <c r="BC209" s="78"/>
      <c r="BD209" s="78"/>
      <c r="BE209" s="78"/>
    </row>
    <row r="210" spans="2:57" ht="14.5" customHeight="1" x14ac:dyDescent="0.35">
      <c r="B210" s="37"/>
      <c r="C210" s="37"/>
      <c r="D210" s="94"/>
      <c r="E210" s="38"/>
      <c r="F210" s="37"/>
      <c r="G210" s="129"/>
      <c r="H210" s="8"/>
      <c r="I210" s="12"/>
      <c r="J210" s="13"/>
      <c r="K210" s="13"/>
      <c r="L210" s="13"/>
      <c r="M210" s="13"/>
      <c r="N210" s="13"/>
      <c r="O210" s="13"/>
      <c r="P210" s="13"/>
      <c r="Q210" s="14"/>
      <c r="R210" s="9"/>
      <c r="S210" s="25"/>
      <c r="T210" s="25"/>
      <c r="U210" s="25"/>
      <c r="V210" s="25"/>
      <c r="W210" s="25"/>
      <c r="X210" s="25"/>
      <c r="Y210" s="25"/>
      <c r="Z210" s="25"/>
      <c r="AA210" s="25"/>
      <c r="AB210" s="130"/>
      <c r="AC210" s="26"/>
      <c r="AD210" s="9"/>
      <c r="AE210" s="15"/>
      <c r="AF210" s="15"/>
      <c r="AG210" s="15"/>
      <c r="AH210" s="15"/>
      <c r="AI210" s="15"/>
      <c r="AJ210" s="15"/>
      <c r="AK210" s="15"/>
      <c r="AL210" s="16"/>
      <c r="AM210" s="16"/>
      <c r="AN210" s="16"/>
      <c r="AO210" s="12"/>
      <c r="AP210" s="40"/>
      <c r="AQ210" s="41"/>
      <c r="AR210" s="40"/>
      <c r="AS210" s="42"/>
      <c r="AT210" s="42"/>
      <c r="AU210" s="36"/>
      <c r="AV210" s="69"/>
      <c r="AW210" s="70"/>
      <c r="AX210" s="78"/>
      <c r="AY210" s="78"/>
      <c r="AZ210" s="78"/>
      <c r="BA210" s="78"/>
      <c r="BB210" s="78"/>
      <c r="BC210" s="78"/>
      <c r="BD210" s="78"/>
      <c r="BE210" s="78"/>
    </row>
    <row r="211" spans="2:57" ht="14.5" customHeight="1" x14ac:dyDescent="0.35">
      <c r="B211" s="37"/>
      <c r="C211" s="37"/>
      <c r="D211" s="94"/>
      <c r="E211" s="38"/>
      <c r="F211" s="37"/>
      <c r="G211" s="129"/>
      <c r="H211" s="8"/>
      <c r="I211" s="12"/>
      <c r="J211" s="13"/>
      <c r="K211" s="13"/>
      <c r="L211" s="13"/>
      <c r="M211" s="13"/>
      <c r="N211" s="13"/>
      <c r="O211" s="13"/>
      <c r="P211" s="13"/>
      <c r="Q211" s="14"/>
      <c r="R211" s="9"/>
      <c r="S211" s="25"/>
      <c r="T211" s="25"/>
      <c r="U211" s="25"/>
      <c r="V211" s="25"/>
      <c r="W211" s="25"/>
      <c r="X211" s="25"/>
      <c r="Y211" s="25"/>
      <c r="Z211" s="25"/>
      <c r="AA211" s="25"/>
      <c r="AB211" s="130"/>
      <c r="AC211" s="26"/>
      <c r="AD211" s="9"/>
      <c r="AE211" s="15"/>
      <c r="AF211" s="15"/>
      <c r="AG211" s="15"/>
      <c r="AH211" s="15"/>
      <c r="AI211" s="15"/>
      <c r="AJ211" s="15"/>
      <c r="AK211" s="15"/>
      <c r="AL211" s="16"/>
      <c r="AM211" s="16"/>
      <c r="AN211" s="16"/>
      <c r="AO211" s="12"/>
      <c r="AP211" s="40"/>
      <c r="AQ211" s="41"/>
      <c r="AR211" s="40"/>
      <c r="AS211" s="42"/>
      <c r="AT211" s="42"/>
      <c r="AU211" s="36"/>
      <c r="AV211" s="69"/>
      <c r="AW211" s="70"/>
      <c r="AX211" s="78"/>
      <c r="AY211" s="78"/>
      <c r="AZ211" s="78"/>
      <c r="BA211" s="78"/>
      <c r="BB211" s="78"/>
      <c r="BC211" s="78"/>
      <c r="BD211" s="78"/>
      <c r="BE211" s="78"/>
    </row>
    <row r="212" spans="2:57" ht="14.5" customHeight="1" x14ac:dyDescent="0.35">
      <c r="B212" s="37"/>
      <c r="C212" s="37"/>
      <c r="D212" s="94"/>
      <c r="E212" s="38"/>
      <c r="F212" s="37"/>
      <c r="G212" s="129"/>
      <c r="H212" s="8"/>
      <c r="I212" s="12"/>
      <c r="J212" s="13"/>
      <c r="K212" s="13"/>
      <c r="L212" s="13"/>
      <c r="M212" s="13"/>
      <c r="N212" s="13"/>
      <c r="O212" s="13"/>
      <c r="P212" s="13"/>
      <c r="Q212" s="14"/>
      <c r="R212" s="9"/>
      <c r="S212" s="25"/>
      <c r="T212" s="25"/>
      <c r="U212" s="25"/>
      <c r="V212" s="25"/>
      <c r="W212" s="25"/>
      <c r="X212" s="25"/>
      <c r="Y212" s="25"/>
      <c r="Z212" s="25"/>
      <c r="AA212" s="25"/>
      <c r="AB212" s="130"/>
      <c r="AC212" s="26"/>
      <c r="AD212" s="9"/>
      <c r="AE212" s="15"/>
      <c r="AF212" s="15"/>
      <c r="AG212" s="15"/>
      <c r="AH212" s="15"/>
      <c r="AI212" s="15"/>
      <c r="AJ212" s="15"/>
      <c r="AK212" s="15"/>
      <c r="AL212" s="16"/>
      <c r="AM212" s="16"/>
      <c r="AN212" s="16"/>
      <c r="AO212" s="12"/>
      <c r="AP212" s="40"/>
      <c r="AQ212" s="41"/>
      <c r="AR212" s="40"/>
      <c r="AS212" s="42"/>
      <c r="AT212" s="42"/>
      <c r="AU212" s="36"/>
      <c r="AV212" s="69"/>
      <c r="AW212" s="70"/>
      <c r="AX212" s="78"/>
      <c r="AY212" s="78"/>
      <c r="AZ212" s="78"/>
      <c r="BA212" s="78"/>
      <c r="BB212" s="78"/>
      <c r="BC212" s="78"/>
      <c r="BD212" s="78"/>
      <c r="BE212" s="78"/>
    </row>
    <row r="213" spans="2:57" ht="14.5" customHeight="1" x14ac:dyDescent="0.35">
      <c r="B213" s="37"/>
      <c r="C213" s="37"/>
      <c r="D213" s="94"/>
      <c r="E213" s="38"/>
      <c r="F213" s="37"/>
      <c r="G213" s="129"/>
      <c r="H213" s="8"/>
      <c r="I213" s="12"/>
      <c r="J213" s="13"/>
      <c r="K213" s="13"/>
      <c r="L213" s="13"/>
      <c r="M213" s="13"/>
      <c r="N213" s="13"/>
      <c r="O213" s="13"/>
      <c r="P213" s="13"/>
      <c r="Q213" s="14"/>
      <c r="R213" s="9"/>
      <c r="S213" s="25"/>
      <c r="T213" s="25"/>
      <c r="U213" s="25"/>
      <c r="V213" s="25"/>
      <c r="W213" s="25"/>
      <c r="X213" s="25"/>
      <c r="Y213" s="25"/>
      <c r="Z213" s="25"/>
      <c r="AA213" s="25"/>
      <c r="AB213" s="130"/>
      <c r="AC213" s="26"/>
      <c r="AD213" s="9"/>
      <c r="AE213" s="15"/>
      <c r="AF213" s="15"/>
      <c r="AG213" s="15"/>
      <c r="AH213" s="15"/>
      <c r="AI213" s="15"/>
      <c r="AJ213" s="15"/>
      <c r="AK213" s="15"/>
      <c r="AL213" s="16"/>
      <c r="AM213" s="16"/>
      <c r="AN213" s="16"/>
      <c r="AO213" s="12"/>
      <c r="AP213" s="40"/>
      <c r="AQ213" s="41"/>
      <c r="AR213" s="40"/>
      <c r="AS213" s="42"/>
      <c r="AT213" s="42"/>
      <c r="AU213" s="36"/>
      <c r="AV213" s="69"/>
      <c r="AW213" s="70"/>
      <c r="AX213" s="78"/>
      <c r="AY213" s="78"/>
      <c r="AZ213" s="78"/>
      <c r="BA213" s="78"/>
      <c r="BB213" s="78"/>
      <c r="BC213" s="78"/>
      <c r="BD213" s="78"/>
      <c r="BE213" s="78"/>
    </row>
    <row r="214" spans="2:57" ht="14.5" customHeight="1" x14ac:dyDescent="0.35">
      <c r="B214" s="37"/>
      <c r="C214" s="37"/>
      <c r="D214" s="94"/>
      <c r="E214" s="38"/>
      <c r="F214" s="37"/>
      <c r="G214" s="129"/>
      <c r="H214" s="8"/>
      <c r="I214" s="12"/>
      <c r="J214" s="13"/>
      <c r="K214" s="13"/>
      <c r="L214" s="13"/>
      <c r="M214" s="13"/>
      <c r="N214" s="13"/>
      <c r="O214" s="13"/>
      <c r="P214" s="13"/>
      <c r="Q214" s="14"/>
      <c r="R214" s="9"/>
      <c r="S214" s="25"/>
      <c r="T214" s="25"/>
      <c r="U214" s="25"/>
      <c r="V214" s="25"/>
      <c r="W214" s="25"/>
      <c r="X214" s="25"/>
      <c r="Y214" s="25"/>
      <c r="Z214" s="25"/>
      <c r="AA214" s="25"/>
      <c r="AB214" s="130"/>
      <c r="AC214" s="26"/>
      <c r="AD214" s="9"/>
      <c r="AE214" s="15"/>
      <c r="AF214" s="15"/>
      <c r="AG214" s="15"/>
      <c r="AH214" s="15"/>
      <c r="AI214" s="15"/>
      <c r="AJ214" s="15"/>
      <c r="AK214" s="15"/>
      <c r="AL214" s="16"/>
      <c r="AM214" s="16"/>
      <c r="AN214" s="16"/>
      <c r="AO214" s="12"/>
      <c r="AP214" s="40"/>
      <c r="AQ214" s="41"/>
      <c r="AR214" s="40"/>
      <c r="AS214" s="42"/>
      <c r="AT214" s="42"/>
      <c r="AU214" s="36"/>
      <c r="AV214" s="69"/>
      <c r="AW214" s="70"/>
      <c r="AX214" s="78"/>
      <c r="AY214" s="78"/>
      <c r="AZ214" s="78"/>
      <c r="BA214" s="78"/>
      <c r="BB214" s="78"/>
      <c r="BC214" s="78"/>
      <c r="BD214" s="78"/>
      <c r="BE214" s="78"/>
    </row>
    <row r="215" spans="2:57" ht="14.5" customHeight="1" x14ac:dyDescent="0.35">
      <c r="B215" s="37"/>
      <c r="C215" s="37"/>
      <c r="D215" s="94"/>
      <c r="E215" s="38"/>
      <c r="F215" s="37"/>
      <c r="G215" s="129"/>
      <c r="H215" s="8"/>
      <c r="I215" s="12"/>
      <c r="J215" s="13"/>
      <c r="K215" s="13"/>
      <c r="L215" s="13"/>
      <c r="M215" s="13"/>
      <c r="N215" s="13"/>
      <c r="O215" s="13"/>
      <c r="P215" s="13"/>
      <c r="Q215" s="14"/>
      <c r="R215" s="9"/>
      <c r="S215" s="25"/>
      <c r="T215" s="25"/>
      <c r="U215" s="25"/>
      <c r="V215" s="25"/>
      <c r="W215" s="25"/>
      <c r="X215" s="25"/>
      <c r="Y215" s="25"/>
      <c r="Z215" s="25"/>
      <c r="AA215" s="25"/>
      <c r="AB215" s="130"/>
      <c r="AC215" s="26"/>
      <c r="AD215" s="9"/>
      <c r="AE215" s="15"/>
      <c r="AF215" s="15"/>
      <c r="AG215" s="15"/>
      <c r="AH215" s="15"/>
      <c r="AI215" s="15"/>
      <c r="AJ215" s="15"/>
      <c r="AK215" s="15"/>
      <c r="AL215" s="16"/>
      <c r="AM215" s="16"/>
      <c r="AN215" s="16"/>
      <c r="AO215" s="12"/>
      <c r="AP215" s="40"/>
      <c r="AQ215" s="41"/>
      <c r="AR215" s="40"/>
      <c r="AS215" s="42"/>
      <c r="AT215" s="42"/>
      <c r="AU215" s="36"/>
      <c r="AV215" s="69"/>
      <c r="AW215" s="70"/>
      <c r="AX215" s="78"/>
      <c r="AY215" s="78"/>
      <c r="AZ215" s="78"/>
      <c r="BA215" s="78"/>
      <c r="BB215" s="78"/>
      <c r="BC215" s="78"/>
      <c r="BD215" s="78"/>
      <c r="BE215" s="78"/>
    </row>
    <row r="216" spans="2:57" ht="14.5" customHeight="1" x14ac:dyDescent="0.35">
      <c r="B216" s="37"/>
      <c r="C216" s="37"/>
      <c r="D216" s="94"/>
      <c r="E216" s="38"/>
      <c r="F216" s="37"/>
      <c r="G216" s="129"/>
      <c r="H216" s="8"/>
      <c r="I216" s="12"/>
      <c r="J216" s="13"/>
      <c r="K216" s="13"/>
      <c r="L216" s="13"/>
      <c r="M216" s="13"/>
      <c r="N216" s="13"/>
      <c r="O216" s="13"/>
      <c r="P216" s="13"/>
      <c r="Q216" s="14"/>
      <c r="R216" s="9"/>
      <c r="S216" s="25"/>
      <c r="T216" s="25"/>
      <c r="U216" s="25"/>
      <c r="V216" s="25"/>
      <c r="W216" s="25"/>
      <c r="X216" s="25"/>
      <c r="Y216" s="25"/>
      <c r="Z216" s="25"/>
      <c r="AA216" s="25"/>
      <c r="AB216" s="130"/>
      <c r="AC216" s="26"/>
      <c r="AD216" s="9"/>
      <c r="AE216" s="15"/>
      <c r="AF216" s="15"/>
      <c r="AG216" s="15"/>
      <c r="AH216" s="15"/>
      <c r="AI216" s="15"/>
      <c r="AJ216" s="15"/>
      <c r="AK216" s="15"/>
      <c r="AL216" s="16"/>
      <c r="AM216" s="16"/>
      <c r="AN216" s="16"/>
      <c r="AO216" s="12"/>
      <c r="AP216" s="40"/>
      <c r="AQ216" s="41"/>
      <c r="AR216" s="40"/>
      <c r="AS216" s="42"/>
      <c r="AT216" s="42"/>
      <c r="AU216" s="36"/>
      <c r="AV216" s="69"/>
      <c r="AW216" s="70"/>
      <c r="AX216" s="78"/>
      <c r="AY216" s="78"/>
      <c r="AZ216" s="78"/>
      <c r="BA216" s="78"/>
      <c r="BB216" s="78"/>
      <c r="BC216" s="78"/>
      <c r="BD216" s="78"/>
      <c r="BE216" s="78"/>
    </row>
    <row r="217" spans="2:57" ht="14.5" customHeight="1" x14ac:dyDescent="0.35">
      <c r="B217" s="37"/>
      <c r="C217" s="37"/>
      <c r="D217" s="94"/>
      <c r="E217" s="37"/>
      <c r="F217" s="37"/>
      <c r="G217" s="129"/>
      <c r="H217" s="8"/>
      <c r="I217" s="12"/>
      <c r="J217" s="13"/>
      <c r="K217" s="13"/>
      <c r="L217" s="13"/>
      <c r="M217" s="13"/>
      <c r="N217" s="13"/>
      <c r="O217" s="13"/>
      <c r="P217" s="13"/>
      <c r="Q217" s="14"/>
      <c r="R217" s="9"/>
      <c r="S217" s="25"/>
      <c r="T217" s="25"/>
      <c r="U217" s="25"/>
      <c r="V217" s="25"/>
      <c r="W217" s="25"/>
      <c r="X217" s="25"/>
      <c r="Y217" s="25"/>
      <c r="Z217" s="25"/>
      <c r="AA217" s="25"/>
      <c r="AB217" s="130"/>
      <c r="AC217" s="26"/>
      <c r="AD217" s="9"/>
      <c r="AE217" s="15"/>
      <c r="AF217" s="15"/>
      <c r="AG217" s="15"/>
      <c r="AH217" s="15"/>
      <c r="AI217" s="15"/>
      <c r="AJ217" s="15"/>
      <c r="AK217" s="15"/>
      <c r="AL217" s="16"/>
      <c r="AM217" s="16"/>
      <c r="AN217" s="16"/>
      <c r="AO217" s="12"/>
      <c r="AP217" s="40"/>
      <c r="AQ217" s="41"/>
      <c r="AR217" s="40"/>
      <c r="AS217" s="42"/>
      <c r="AT217" s="42"/>
      <c r="AU217" s="36"/>
      <c r="AV217" s="69"/>
      <c r="AW217" s="70"/>
      <c r="AX217" s="78"/>
      <c r="AY217" s="78"/>
      <c r="AZ217" s="78"/>
      <c r="BA217" s="78"/>
      <c r="BB217" s="78"/>
      <c r="BC217" s="78"/>
      <c r="BD217" s="78"/>
      <c r="BE217" s="78"/>
    </row>
    <row r="218" spans="2:57" x14ac:dyDescent="0.35">
      <c r="D218" s="93"/>
    </row>
    <row r="219" spans="2:57" x14ac:dyDescent="0.35">
      <c r="D219" s="93"/>
    </row>
    <row r="220" spans="2:57" x14ac:dyDescent="0.35">
      <c r="D220" s="93"/>
    </row>
    <row r="221" spans="2:57" x14ac:dyDescent="0.35">
      <c r="D221" s="93"/>
    </row>
    <row r="222" spans="2:57" x14ac:dyDescent="0.35">
      <c r="D222" s="93"/>
    </row>
    <row r="223" spans="2:57" x14ac:dyDescent="0.35">
      <c r="D223" s="93"/>
    </row>
    <row r="224" spans="2:57" x14ac:dyDescent="0.35">
      <c r="D224" s="93"/>
    </row>
    <row r="225" spans="4:4" x14ac:dyDescent="0.35">
      <c r="D225" s="93"/>
    </row>
    <row r="226" spans="4:4" x14ac:dyDescent="0.35">
      <c r="D226" s="93"/>
    </row>
    <row r="227" spans="4:4" x14ac:dyDescent="0.35">
      <c r="D227" s="93"/>
    </row>
    <row r="228" spans="4:4" x14ac:dyDescent="0.35">
      <c r="D228" s="93"/>
    </row>
    <row r="229" spans="4:4" x14ac:dyDescent="0.35">
      <c r="D229" s="93"/>
    </row>
    <row r="230" spans="4:4" x14ac:dyDescent="0.35">
      <c r="D230" s="93"/>
    </row>
    <row r="231" spans="4:4" x14ac:dyDescent="0.35">
      <c r="D231" s="93"/>
    </row>
    <row r="232" spans="4:4" x14ac:dyDescent="0.35">
      <c r="D232" s="93"/>
    </row>
    <row r="233" spans="4:4" x14ac:dyDescent="0.35">
      <c r="D233" s="93"/>
    </row>
    <row r="234" spans="4:4" x14ac:dyDescent="0.35">
      <c r="D234" s="93"/>
    </row>
    <row r="235" spans="4:4" x14ac:dyDescent="0.35">
      <c r="D235" s="93"/>
    </row>
    <row r="236" spans="4:4" x14ac:dyDescent="0.35">
      <c r="D236" s="93"/>
    </row>
    <row r="237" spans="4:4" x14ac:dyDescent="0.35">
      <c r="D237" s="93"/>
    </row>
    <row r="238" spans="4:4" x14ac:dyDescent="0.35">
      <c r="D238" s="93"/>
    </row>
    <row r="239" spans="4:4" x14ac:dyDescent="0.35">
      <c r="D239" s="93"/>
    </row>
    <row r="240" spans="4:4" x14ac:dyDescent="0.35">
      <c r="D240" s="93"/>
    </row>
    <row r="241" spans="4:4" x14ac:dyDescent="0.35">
      <c r="D241" s="93"/>
    </row>
    <row r="242" spans="4:4" x14ac:dyDescent="0.35">
      <c r="D242" s="93"/>
    </row>
    <row r="243" spans="4:4" x14ac:dyDescent="0.35">
      <c r="D243" s="93"/>
    </row>
    <row r="244" spans="4:4" x14ac:dyDescent="0.35">
      <c r="D244" s="93"/>
    </row>
    <row r="245" spans="4:4" x14ac:dyDescent="0.35">
      <c r="D245" s="93"/>
    </row>
    <row r="246" spans="4:4" x14ac:dyDescent="0.35">
      <c r="D246" s="93"/>
    </row>
    <row r="247" spans="4:4" x14ac:dyDescent="0.35">
      <c r="D247" s="93"/>
    </row>
    <row r="248" spans="4:4" x14ac:dyDescent="0.35">
      <c r="D248" s="93"/>
    </row>
    <row r="249" spans="4:4" x14ac:dyDescent="0.35">
      <c r="D249" s="93"/>
    </row>
    <row r="250" spans="4:4" x14ac:dyDescent="0.35">
      <c r="D250" s="93"/>
    </row>
    <row r="251" spans="4:4" x14ac:dyDescent="0.35">
      <c r="D251" s="93"/>
    </row>
    <row r="252" spans="4:4" x14ac:dyDescent="0.35">
      <c r="D252" s="93"/>
    </row>
    <row r="253" spans="4:4" x14ac:dyDescent="0.35">
      <c r="D253" s="93"/>
    </row>
    <row r="254" spans="4:4" x14ac:dyDescent="0.35">
      <c r="D254" s="93"/>
    </row>
    <row r="255" spans="4:4" x14ac:dyDescent="0.35">
      <c r="D255" s="93"/>
    </row>
    <row r="256" spans="4:4" x14ac:dyDescent="0.35">
      <c r="D256" s="93"/>
    </row>
    <row r="257" spans="4:4" x14ac:dyDescent="0.35">
      <c r="D257" s="93"/>
    </row>
    <row r="258" spans="4:4" x14ac:dyDescent="0.35">
      <c r="D258" s="93"/>
    </row>
    <row r="259" spans="4:4" x14ac:dyDescent="0.35">
      <c r="D259" s="93"/>
    </row>
    <row r="260" spans="4:4" x14ac:dyDescent="0.35">
      <c r="D260" s="93"/>
    </row>
    <row r="261" spans="4:4" x14ac:dyDescent="0.35">
      <c r="D261" s="93"/>
    </row>
    <row r="262" spans="4:4" x14ac:dyDescent="0.35">
      <c r="D262" s="93"/>
    </row>
    <row r="263" spans="4:4" x14ac:dyDescent="0.35">
      <c r="D263" s="93"/>
    </row>
    <row r="264" spans="4:4" x14ac:dyDescent="0.35">
      <c r="D264" s="93"/>
    </row>
    <row r="265" spans="4:4" x14ac:dyDescent="0.35">
      <c r="D265" s="93"/>
    </row>
    <row r="266" spans="4:4" x14ac:dyDescent="0.35">
      <c r="D266" s="93"/>
    </row>
    <row r="267" spans="4:4" x14ac:dyDescent="0.35">
      <c r="D267" s="93"/>
    </row>
    <row r="268" spans="4:4" x14ac:dyDescent="0.35">
      <c r="D268" s="93"/>
    </row>
    <row r="269" spans="4:4" x14ac:dyDescent="0.35">
      <c r="D269" s="93"/>
    </row>
    <row r="270" spans="4:4" x14ac:dyDescent="0.35">
      <c r="D270" s="93"/>
    </row>
  </sheetData>
  <sheetProtection algorithmName="SHA-512" hashValue="SG1Zqfa7AKX5wCEH/yw1bUmLWGmg1unfGvzJGouOfy9WTZfLWCg7YtxbpTd2eZi+jR6ywbHU3Z3jlRtIK5bz7g==" saltValue="eMITb27Z07Fjbn0QYTq84A==" spinCount="100000" sheet="1" sort="0" autoFilter="0"/>
  <mergeCells count="8">
    <mergeCell ref="AX12:BE12"/>
    <mergeCell ref="AE9:AV10"/>
    <mergeCell ref="I9:Q10"/>
    <mergeCell ref="I11:Q11"/>
    <mergeCell ref="S9:AC10"/>
    <mergeCell ref="AF11:AV11"/>
    <mergeCell ref="S11:Z11"/>
    <mergeCell ref="AA11:AB11"/>
  </mergeCells>
  <conditionalFormatting sqref="AE14:AL207 AE208:AK217">
    <cfRule type="expression" dxfId="11" priority="27">
      <formula>AND(ISNUMBER(AE14), ABS(AE14) &gt; $AE$11)</formula>
    </cfRule>
  </conditionalFormatting>
  <conditionalFormatting sqref="AM14:AM217">
    <cfRule type="expression" dxfId="10" priority="28">
      <formula>AND(ISNUMBER($P14), ISNUMBER($AA14), $AA14 &lt;&gt; $P14)</formula>
    </cfRule>
  </conditionalFormatting>
  <conditionalFormatting sqref="AN14:AN217">
    <cfRule type="expression" dxfId="9" priority="29">
      <formula>Q14&lt;&gt;AB14</formula>
    </cfRule>
  </conditionalFormatting>
  <conditionalFormatting sqref="AO14:AO15">
    <cfRule type="containsText" dxfId="8" priority="6" operator="containsText" text="نعم">
      <formula>NOT(ISERROR(SEARCH("نعم",AO14)))</formula>
    </cfRule>
  </conditionalFormatting>
  <conditionalFormatting sqref="AO16:AO207">
    <cfRule type="containsText" dxfId="7" priority="1" operator="containsText" text="نعم">
      <formula>NOT(ISERROR(SEARCH("نعم",AO16)))</formula>
    </cfRule>
  </conditionalFormatting>
  <conditionalFormatting sqref="AP14:AP217">
    <cfRule type="expression" dxfId="6" priority="12">
      <formula>$AO14="لا"</formula>
    </cfRule>
    <cfRule type="expression" dxfId="5" priority="13">
      <formula>$AO14="نعم"</formula>
    </cfRule>
  </conditionalFormatting>
  <conditionalFormatting sqref="AQ14:AQ207 AS14:AS207">
    <cfRule type="containsText" dxfId="4" priority="4" operator="containsText" text="نعم">
      <formula>NOT(ISERROR(SEARCH("نعم",AQ14)))</formula>
    </cfRule>
  </conditionalFormatting>
  <conditionalFormatting sqref="AR14:AR207 AR208:AT217">
    <cfRule type="expression" dxfId="3" priority="16">
      <formula>$AQ14="نعم"</formula>
    </cfRule>
    <cfRule type="expression" dxfId="2" priority="17">
      <formula>$AQ14="لا"</formula>
    </cfRule>
  </conditionalFormatting>
  <conditionalFormatting sqref="AT14:AT207">
    <cfRule type="expression" dxfId="1" priority="2">
      <formula>$AS14="لا"</formula>
    </cfRule>
    <cfRule type="expression" dxfId="0" priority="3">
      <formula>$AS14="نعم"</formula>
    </cfRule>
  </conditionalFormatting>
  <dataValidations count="3">
    <dataValidation type="list" allowBlank="1" showInputMessage="1" showErrorMessage="1" sqref="AN12" xr:uid="{1C8607FF-C5DE-4506-A677-9206345DBC35}">
      <formula1>"دون تغيير,إضافة,دمج,حذف"</formula1>
    </dataValidation>
    <dataValidation type="list" allowBlank="1" showInputMessage="1" showErrorMessage="1" sqref="Q14:Q207" xr:uid="{694AC67D-792F-4B5E-9610-D157132DCD6B}">
      <formula1>INDIRECT(G14)</formula1>
    </dataValidation>
    <dataValidation type="list" allowBlank="1" showInputMessage="1" showErrorMessage="1" sqref="AB14:AB217" xr:uid="{A479F6C9-B4B1-4031-BC11-4F2ADD8D863D}">
      <formula1>INDIRECT(G14)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3022996-42F6-470C-955B-42B2902FE0F8}">
          <x14:formula1>
            <xm:f>'طريقة الحساب'!$A$1:$B$1</xm:f>
          </x14:formula1>
          <xm:sqref>G14:G217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78E2426075E64E8970E7A7432CA1B4" ma:contentTypeVersion="7" ma:contentTypeDescription="Create a new document." ma:contentTypeScope="" ma:versionID="15e906ec4f8fe2906df7fa7cbf004866">
  <xsd:schema xmlns:xsd="http://www.w3.org/2001/XMLSchema" xmlns:xs="http://www.w3.org/2001/XMLSchema" xmlns:p="http://schemas.microsoft.com/office/2006/metadata/properties" xmlns:ns2="b4b0f47a-ef3b-40ac-ae90-e119d185a16e" targetNamespace="http://schemas.microsoft.com/office/2006/metadata/properties" ma:root="true" ma:fieldsID="df043da8fcc6252a8e23b52f8f5a7778" ns2:_="">
    <xsd:import namespace="b4b0f47a-ef3b-40ac-ae90-e119d185a16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0f47a-ef3b-40ac-ae90-e119d185a1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91CA44-3404-494C-8D12-7435306D4F83}">
  <ds:schemaRefs>
    <ds:schemaRef ds:uri="http://schemas.microsoft.com/office/2006/metadata/properties"/>
    <ds:schemaRef ds:uri="http://www.w3.org/XML/1998/namespace"/>
    <ds:schemaRef ds:uri="http://purl.org/dc/dcmitype/"/>
    <ds:schemaRef ds:uri="b4b0f47a-ef3b-40ac-ae90-e119d185a16e"/>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65814A2B-E186-45F3-BD69-B9011EFD19DB}">
  <ds:schemaRefs>
    <ds:schemaRef ds:uri="http://schemas.microsoft.com/sharepoint/v3/contenttype/forms"/>
  </ds:schemaRefs>
</ds:datastoreItem>
</file>

<file path=customXml/itemProps3.xml><?xml version="1.0" encoding="utf-8"?>
<ds:datastoreItem xmlns:ds="http://schemas.openxmlformats.org/officeDocument/2006/customXml" ds:itemID="{3AA310A8-0F76-4158-AFD0-4485FD0991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0f47a-ef3b-40ac-ae90-e119d185a1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الافتراضات</vt:lpstr>
      <vt:lpstr>طريقة الحساب</vt:lpstr>
      <vt:lpstr>نموذج التحليل</vt:lpstr>
      <vt:lpstr>تكرار</vt:lpstr>
      <vt:lpstr>نسبة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Albarbari, Mohammed</dc:creator>
  <cp:keywords>OW21.BlankWorkbook.20210601.1</cp:keywords>
  <cp:lastModifiedBy>Sily, Sasha</cp:lastModifiedBy>
  <cp:lastPrinted>2025-07-20T06:18:59Z</cp:lastPrinted>
  <dcterms:created xsi:type="dcterms:W3CDTF">2021-04-12T10:02:32Z</dcterms:created>
  <dcterms:modified xsi:type="dcterms:W3CDTF">2025-07-20T06:22:57Z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Version">
    <vt:lpwstr>2021/06/01</vt:lpwstr>
  </property>
  <property fmtid="{D5CDD505-2E9C-101B-9397-08002B2CF9AE}" pid="3" name="MSIP_Label_38f1469a-2c2a-4aee-b92b-090d4c5468ff_Enabled">
    <vt:lpwstr>true</vt:lpwstr>
  </property>
  <property fmtid="{D5CDD505-2E9C-101B-9397-08002B2CF9AE}" pid="4" name="MSIP_Label_38f1469a-2c2a-4aee-b92b-090d4c5468ff_SetDate">
    <vt:lpwstr>2025-06-26T08:15:30Z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927e131a-2ecb-4f22-bd77-3bb4d763094c</vt:lpwstr>
  </property>
  <property fmtid="{D5CDD505-2E9C-101B-9397-08002B2CF9AE}" pid="9" name="MSIP_Label_38f1469a-2c2a-4aee-b92b-090d4c5468ff_ContentBits">
    <vt:lpwstr>0</vt:lpwstr>
  </property>
  <property fmtid="{D5CDD505-2E9C-101B-9397-08002B2CF9AE}" pid="10" name="MSIP_Label_38f1469a-2c2a-4aee-b92b-090d4c5468ff_Tag">
    <vt:lpwstr>10, 3, 0, 1</vt:lpwstr>
  </property>
  <property fmtid="{D5CDD505-2E9C-101B-9397-08002B2CF9AE}" pid="11" name="ContentTypeId">
    <vt:lpwstr>0x0101008078E2426075E64E8970E7A7432CA1B4</vt:lpwstr>
  </property>
  <property fmtid="{D5CDD505-2E9C-101B-9397-08002B2CF9AE}" pid="12" name="DocumentMSOLanguageID">
    <vt:lpwstr>msoLanguageIDEnglishUK</vt:lpwstr>
  </property>
</Properties>
</file>